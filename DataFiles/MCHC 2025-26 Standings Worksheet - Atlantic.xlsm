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89" documentId="13_ncr:1_{6D847147-14CC-4E2E-9F58-D0DC2A8D343C}" xr6:coauthVersionLast="47" xr6:coauthVersionMax="47" xr10:uidLastSave="{428611CD-63FF-45D7-A494-B469501AA8C0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1" l="1"/>
  <c r="Q19" i="1"/>
  <c r="O25" i="1"/>
  <c r="N24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<sst xmlns="http://schemas.openxmlformats.org/spreadsheetml/2006/main" count="134" uniqueCount="64">
  <si>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</si>
  <si>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</si>
  <si>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</si>
  <si>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</si>
  <si>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</si>
  <si>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</si>
  <si>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</si>
  <si>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</si>
  <si>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</si>
  <si>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</si>
  <si>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</si>
  <si>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</si>
  <si>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</si>
  <si>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</si>
  <si>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</si>
  <si>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</si>
  <si>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</si>
  <si>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</si>
  <si>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</si>
  <si>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</si>
  <si>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</si>
  <si>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</si>
  <si>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</si>
  <si>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</si>
  <si>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</si>
  <si>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</si>
  <si>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</si>
  <si>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</si>
  <si>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</si>
  <si>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</si>
  <si>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</si>
  <si>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</si>
  <si>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</si>
  <si>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</si>
  <si>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</si>
  <si>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</si>
  <si>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</si>
  <si>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</si>
  <si>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</si>
  <si>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</si>
  <si>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</si>
  <si>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</si>
  <si>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</si>
  <si>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</si>
  <si>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</si>
  <si>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</si>
  <si>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</si>
  <si>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</si>
  <si>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</si>
  <si>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</si>
  <si>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</si>
  <si>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</si>
  <si>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</si>
  <si>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</si>
  <si>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</si>
  <si>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</si>
  <si>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</si>
  <si>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</si>
  <si>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</si>
  <si>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</si>
  <si>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</si>
  <si>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</si>
  <si>
    <t>Fairfield (Away) Wins</t>
  </si>
  <si>
    <t>Stevens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</si>
</sst>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3" xfId="0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0" fontId="18" fillId="0" borderId="34" xfId="2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6"/>
      <c r="M3" s="81" t="s">
        <v>10</v>
      </c>
      <c r="N3" s="82"/>
      <c r="O3" s="82"/>
      <c r="P3" s="82"/>
    </row>
    <row r="4" spans="1:16" ht="18" customHeight="1" x14ac:dyDescent="0.3">
      <c r="A4" s="86"/>
      <c r="B4" s="57">
        <v>1</v>
      </c>
      <c r="C4" s="59" t="s">
        <v>44</v>
      </c>
      <c r="D4" s="23">
        <v>6</v>
      </c>
      <c r="E4" s="23">
        <v>4</v>
      </c>
      <c r="F4" s="23">
        <v>2</v>
      </c>
      <c r="G4" s="23">
        <v>0</v>
      </c>
      <c r="H4" s="58">
        <v>8</v>
      </c>
      <c r="I4" s="23">
        <v>41</v>
      </c>
      <c r="J4" s="60">
        <v>24</v>
      </c>
      <c r="K4" s="86"/>
      <c r="M4" s="4">
        <v>1</v>
      </c>
      <c r="N4" t="s">
        <v>11</v>
      </c>
    </row>
    <row r="5" spans="1:16" ht="18" customHeight="1" x14ac:dyDescent="0.3">
      <c r="A5" s="86"/>
      <c r="B5" s="57">
        <v>2</v>
      </c>
      <c r="C5" s="59" t="s">
        <v>42</v>
      </c>
      <c r="D5" s="23">
        <v>8</v>
      </c>
      <c r="E5" s="23">
        <v>4</v>
      </c>
      <c r="F5" s="23">
        <v>4</v>
      </c>
      <c r="G5" s="23">
        <v>0</v>
      </c>
      <c r="H5" s="58">
        <v>8</v>
      </c>
      <c r="I5" s="23">
        <v>31</v>
      </c>
      <c r="J5" s="60">
        <v>43</v>
      </c>
      <c r="K5" s="86"/>
      <c r="M5" s="4">
        <v>2</v>
      </c>
      <c r="N5" t="s">
        <v>12</v>
      </c>
    </row>
    <row r="6" spans="1:16" ht="18" customHeight="1" x14ac:dyDescent="0.3">
      <c r="A6" s="86"/>
      <c r="B6" s="57">
        <v>3</v>
      </c>
      <c r="C6" s="59" t="s">
        <v>34</v>
      </c>
      <c r="D6" s="23">
        <v>7</v>
      </c>
      <c r="E6" s="23">
        <v>3</v>
      </c>
      <c r="F6" s="23">
        <v>3</v>
      </c>
      <c r="G6" s="23">
        <v>1</v>
      </c>
      <c r="H6" s="58">
        <v>7</v>
      </c>
      <c r="I6" s="23">
        <v>34</v>
      </c>
      <c r="J6" s="60">
        <v>30</v>
      </c>
      <c r="K6" s="86"/>
      <c r="M6" s="4">
        <v>3</v>
      </c>
      <c r="N6" t="s">
        <v>13</v>
      </c>
    </row>
    <row r="7" spans="1:16" ht="18" customHeight="1" x14ac:dyDescent="0.3">
      <c r="A7" s="86"/>
      <c r="B7" s="57">
        <v>4</v>
      </c>
      <c r="C7" s="59" t="s">
        <v>43</v>
      </c>
      <c r="D7" s="23">
        <v>4</v>
      </c>
      <c r="E7" s="23">
        <v>3</v>
      </c>
      <c r="F7" s="23">
        <v>1</v>
      </c>
      <c r="G7" s="23">
        <v>0</v>
      </c>
      <c r="H7" s="58">
        <v>6</v>
      </c>
      <c r="I7" s="23">
        <v>21</v>
      </c>
      <c r="J7" s="60">
        <v>19</v>
      </c>
      <c r="K7" s="86"/>
      <c r="M7" s="4">
        <v>4</v>
      </c>
      <c r="N7" t="s">
        <v>15</v>
      </c>
    </row>
    <row r="8" spans="1:16" ht="18" customHeight="1" x14ac:dyDescent="0.3">
      <c r="A8" s="86"/>
      <c r="B8" s="57">
        <v>5</v>
      </c>
      <c r="C8" s="59" t="s">
        <v>41</v>
      </c>
      <c r="D8" s="23">
        <v>4</v>
      </c>
      <c r="E8" s="23">
        <v>2</v>
      </c>
      <c r="F8" s="23">
        <v>2</v>
      </c>
      <c r="G8" s="23">
        <v>0</v>
      </c>
      <c r="H8" s="58">
        <v>4</v>
      </c>
      <c r="I8" s="23">
        <v>25</v>
      </c>
      <c r="J8" s="60">
        <v>20</v>
      </c>
      <c r="K8" s="86"/>
      <c r="M8" s="4">
        <v>5</v>
      </c>
      <c r="N8" t="s">
        <v>17</v>
      </c>
    </row>
    <row r="9" spans="1:16" ht="18" customHeight="1" x14ac:dyDescent="0.3">
      <c r="A9" s="86"/>
      <c r="B9" s="57">
        <v>6</v>
      </c>
      <c r="C9" s="59" t="s">
        <v>39</v>
      </c>
      <c r="D9" s="23">
        <v>4</v>
      </c>
      <c r="E9" s="23">
        <v>1</v>
      </c>
      <c r="F9" s="23">
        <v>3</v>
      </c>
      <c r="G9" s="23">
        <v>0</v>
      </c>
      <c r="H9" s="58">
        <v>2</v>
      </c>
      <c r="I9" s="23">
        <v>13</v>
      </c>
      <c r="J9" s="60">
        <v>27</v>
      </c>
      <c r="K9" s="86"/>
    </row>
    <row r="10" spans="1:16" ht="18" customHeight="1" thickBot="1" x14ac:dyDescent="0.35">
      <c r="A10" s="86"/>
      <c r="B10" s="57">
        <v>7</v>
      </c>
      <c r="C10" s="59" t="s">
        <v>40</v>
      </c>
      <c r="D10" s="23">
        <v>1</v>
      </c>
      <c r="E10" s="23">
        <v>0</v>
      </c>
      <c r="F10" s="23">
        <v>1</v>
      </c>
      <c r="G10" s="23">
        <v>0</v>
      </c>
      <c r="H10" s="58">
        <v>0</v>
      </c>
      <c r="I10" s="23">
        <v>2</v>
      </c>
      <c r="J10" s="60">
        <v>4</v>
      </c>
      <c r="K10" s="86"/>
      <c r="M10" t="s">
        <v>14</v>
      </c>
    </row>
    <row r="11" spans="1:16" ht="18" hidden="1" customHeight="1" thickBot="1" x14ac:dyDescent="0.35">
      <c r="A11" s="86"/>
      <c r="B11" s="57"/>
      <c r="C11" s="94"/>
      <c r="D11" s="95"/>
      <c r="E11" s="95"/>
      <c r="F11" s="95"/>
      <c r="G11" s="95"/>
      <c r="H11" s="95"/>
      <c r="I11" s="95"/>
      <c r="J11" s="96"/>
      <c r="K11" s="86"/>
    </row>
    <row r="12" spans="1:16" ht="16.8" thickTop="1" thickBot="1" x14ac:dyDescent="0.35">
      <c r="A12" s="86"/>
      <c r="B12" s="57"/>
      <c r="C12" s="97"/>
      <c r="D12" s="98"/>
      <c r="E12" s="98"/>
      <c r="F12" s="98"/>
      <c r="G12" s="98"/>
      <c r="H12" s="98"/>
      <c r="I12" s="98"/>
      <c r="J12" s="99"/>
      <c r="K12" s="86"/>
      <c r="M12" s="83" t="s">
        <v>16</v>
      </c>
      <c r="N12" s="83"/>
      <c r="O12" s="83"/>
      <c r="P12" s="5">
        <v>29</v>
      </c>
    </row>
    <row r="13" spans="1:16" ht="15.6" x14ac:dyDescent="0.3">
      <c r="A13" s="1"/>
      <c r="B13" s="56"/>
      <c r="C13" s="89" t="s">
        <v>31</v>
      </c>
      <c r="D13" s="90"/>
      <c r="E13" s="90"/>
      <c r="F13" s="90"/>
      <c r="G13" s="87" cm="1">
        <f t="array" aca="1" ref="G13" ca="1">LastModified()</f>
        <v>45985.807233796295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61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167</v>
      </c>
      <c r="J15" s="7">
        <f>SUM(J4:J12)</f>
        <v>167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A19" sqref="A1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.21875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0" t="s">
        <v>26</v>
      </c>
      <c r="S1" s="101"/>
      <c r="T1" s="73">
        <f>MAX(A:A)</f>
        <v>29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74">
        <f>SUM(T3:T7)</f>
        <v>17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0.17647058823529413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0.11764705882352941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2</v>
      </c>
      <c r="U5" s="45">
        <f>IF($T$2&gt;0, T5/$T$2, 0)</f>
        <v>0.11764705882352941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0.29411764705882354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5</v>
      </c>
      <c r="U7" s="48">
        <f>IF($T$2&gt;0, T7/$T$2, 0)</f>
        <v>0.29411764705882354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6" si="2">D12-F12</f>
        <v>5</v>
      </c>
      <c r="Q12" s="49">
        <f t="shared" ref="Q12:Q16" si="3">ABS(P12)</f>
        <v>5</v>
      </c>
    </row>
    <row r="13" spans="1:21" s="40" customFormat="1" x14ac:dyDescent="0.3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3">
      <c r="A14" s="34">
        <v>12</v>
      </c>
      <c r="B14" s="35">
        <v>45968</v>
      </c>
      <c r="C14" s="36" t="s">
        <v>44</v>
      </c>
      <c r="D14" s="62">
        <v>6</v>
      </c>
      <c r="E14" s="36" t="s">
        <v>41</v>
      </c>
      <c r="F14" s="62">
        <v>4</v>
      </c>
      <c r="G14" s="37"/>
      <c r="H14" s="38" t="s">
        <v>62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3">
      <c r="A15" s="34">
        <v>13</v>
      </c>
      <c r="B15" s="35">
        <v>45970</v>
      </c>
      <c r="C15" s="36" t="s">
        <v>39</v>
      </c>
      <c r="D15" s="62">
        <v>6</v>
      </c>
      <c r="E15" s="36" t="s">
        <v>34</v>
      </c>
      <c r="F15" s="62">
        <v>2</v>
      </c>
      <c r="G15" s="37"/>
      <c r="H15" s="38" t="s">
        <v>63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3">
      <c r="A16" s="34">
        <v>14</v>
      </c>
      <c r="B16" s="35">
        <v>45975</v>
      </c>
      <c r="C16" s="36" t="s">
        <v>42</v>
      </c>
      <c r="D16" s="62">
        <v>4</v>
      </c>
      <c r="E16" s="36" t="s">
        <v>43</v>
      </c>
      <c r="F16" s="62">
        <v>7</v>
      </c>
      <c r="G16" s="37"/>
      <c r="H16" s="38" t="s">
        <v>49</v>
      </c>
      <c r="I16" s="39">
        <v>7</v>
      </c>
      <c r="J16" s="39"/>
      <c r="P16" s="43">
        <f t="shared" si="2"/>
        <v>-3</v>
      </c>
      <c r="Q16" s="49">
        <f t="shared" si="3"/>
        <v>3</v>
      </c>
    </row>
    <row r="17" spans="1:17" s="40" customFormat="1" x14ac:dyDescent="0.3">
      <c r="A17" s="34">
        <v>15</v>
      </c>
      <c r="B17" s="35">
        <v>45982</v>
      </c>
      <c r="C17" s="36" t="s">
        <v>42</v>
      </c>
      <c r="D17" s="62">
        <v>3</v>
      </c>
      <c r="E17" s="36" t="s">
        <v>44</v>
      </c>
      <c r="F17" s="62">
        <v>10</v>
      </c>
      <c r="G17" s="37"/>
      <c r="H17" s="38" t="s">
        <v>48</v>
      </c>
      <c r="I17" s="39">
        <v>1</v>
      </c>
      <c r="J17" s="39"/>
      <c r="P17" s="43">
        <f t="shared" ref="P17:P31" si="4">D17-F17</f>
        <v>-7</v>
      </c>
      <c r="Q17" s="49">
        <f t="shared" ref="Q17:Q31" si="5">ABS(P17)</f>
        <v>7</v>
      </c>
    </row>
    <row r="18" spans="1:17" s="40" customFormat="1" x14ac:dyDescent="0.3">
      <c r="A18" s="34">
        <v>16</v>
      </c>
      <c r="B18" s="35">
        <v>45983</v>
      </c>
      <c r="C18" s="36" t="s">
        <v>39</v>
      </c>
      <c r="D18" s="62">
        <v>3</v>
      </c>
      <c r="E18" s="36" t="s">
        <v>44</v>
      </c>
      <c r="F18" s="62">
        <v>12</v>
      </c>
      <c r="G18" s="37"/>
      <c r="H18" s="38" t="s">
        <v>48</v>
      </c>
      <c r="I18" s="39">
        <v>1</v>
      </c>
      <c r="J18" s="39"/>
      <c r="P18" s="43">
        <f t="shared" si="4"/>
        <v>-9</v>
      </c>
      <c r="Q18" s="49">
        <f t="shared" si="5"/>
        <v>9</v>
      </c>
    </row>
    <row r="19" spans="1:17" s="40" customFormat="1" x14ac:dyDescent="0.3">
      <c r="A19" s="34">
        <v>29</v>
      </c>
      <c r="B19" s="35">
        <v>45983</v>
      </c>
      <c r="C19" s="36" t="s">
        <v>34</v>
      </c>
      <c r="D19" s="62">
        <v>5</v>
      </c>
      <c r="E19" s="36" t="s">
        <v>42</v>
      </c>
      <c r="F19" s="62">
        <v>6</v>
      </c>
      <c r="G19" s="37"/>
      <c r="H19" s="38" t="s">
        <v>47</v>
      </c>
      <c r="I19" s="39">
        <v>2</v>
      </c>
      <c r="J19" s="39"/>
      <c r="P19" s="43">
        <f t="shared" si="4"/>
        <v>-1</v>
      </c>
      <c r="Q19" s="49">
        <f t="shared" si="5"/>
        <v>1</v>
      </c>
    </row>
    <row r="20" spans="1:17" s="40" customFormat="1" x14ac:dyDescent="0.3">
      <c r="A20" s="34">
        <v>4</v>
      </c>
      <c r="B20" s="35">
        <v>45997</v>
      </c>
      <c r="C20" s="36" t="s">
        <v>40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17</v>
      </c>
      <c r="B21" s="35">
        <v>45997</v>
      </c>
      <c r="C21" s="36" t="s">
        <v>39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18</v>
      </c>
      <c r="B22" s="35">
        <v>45998</v>
      </c>
      <c r="C22" s="36" t="s">
        <v>34</v>
      </c>
      <c r="D22" s="62"/>
      <c r="E22" s="36" t="s">
        <v>41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19</v>
      </c>
      <c r="B23" s="35">
        <v>46047</v>
      </c>
      <c r="C23" s="36" t="s">
        <v>44</v>
      </c>
      <c r="D23" s="62"/>
      <c r="E23" s="36" t="s">
        <v>34</v>
      </c>
      <c r="F23" s="62"/>
      <c r="G23" s="37"/>
      <c r="H23" s="38"/>
      <c r="I23" s="39"/>
      <c r="J23" s="39"/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20</v>
      </c>
      <c r="B24" s="35">
        <v>46053</v>
      </c>
      <c r="C24" s="36" t="s">
        <v>42</v>
      </c>
      <c r="D24" s="62"/>
      <c r="E24" s="36" t="s">
        <v>41</v>
      </c>
      <c r="F24" s="62"/>
      <c r="G24" s="37"/>
      <c r="H24" s="38"/>
      <c r="I24" s="39"/>
      <c r="J24" s="39"/>
      <c r="N24" s="40">
        <f>LOOKUP(C25,M2:M6,N2:N6)</f>
        <v>6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21</v>
      </c>
      <c r="B25" s="35">
        <v>46053</v>
      </c>
      <c r="C25" s="36" t="s">
        <v>39</v>
      </c>
      <c r="D25" s="62"/>
      <c r="E25" s="36" t="s">
        <v>43</v>
      </c>
      <c r="F25" s="62"/>
      <c r="G25" s="37"/>
      <c r="H25" s="38"/>
      <c r="I25" s="39"/>
      <c r="J25" s="39"/>
      <c r="O25" s="40">
        <f>LOOKUP(E25,M2:M6,N2:N6)</f>
        <v>6</v>
      </c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22</v>
      </c>
      <c r="B26" s="35">
        <v>46054</v>
      </c>
      <c r="C26" s="36" t="s">
        <v>42</v>
      </c>
      <c r="D26" s="62"/>
      <c r="E26" s="36" t="s">
        <v>39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23</v>
      </c>
      <c r="B27" s="35">
        <v>46054</v>
      </c>
      <c r="C27" s="36" t="s">
        <v>43</v>
      </c>
      <c r="D27" s="62"/>
      <c r="E27" s="36" t="s">
        <v>41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24</v>
      </c>
      <c r="B28" s="35">
        <v>46060</v>
      </c>
      <c r="C28" s="36" t="s">
        <v>44</v>
      </c>
      <c r="D28" s="62"/>
      <c r="E28" s="36" t="s">
        <v>39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25</v>
      </c>
      <c r="B29" s="35">
        <v>46060</v>
      </c>
      <c r="C29" s="36" t="s">
        <v>43</v>
      </c>
      <c r="D29" s="62"/>
      <c r="E29" s="36" t="s">
        <v>42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26</v>
      </c>
      <c r="B30" s="35">
        <v>46066</v>
      </c>
      <c r="C30" s="36" t="s">
        <v>44</v>
      </c>
      <c r="D30" s="62"/>
      <c r="E30" s="36" t="s">
        <v>43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27</v>
      </c>
      <c r="B31" s="35">
        <v>46068</v>
      </c>
      <c r="C31" s="36" t="s">
        <v>43</v>
      </c>
      <c r="D31" s="62"/>
      <c r="E31" s="36" t="s">
        <v>44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7"/>
      <c r="B45" s="107"/>
      <c r="C45" s="107"/>
      <c r="D45" s="107"/>
      <c r="E45" s="107"/>
      <c r="F45" s="107"/>
      <c r="G45" s="107"/>
      <c r="H45" s="38"/>
      <c r="I45" s="39"/>
      <c r="J45" s="39"/>
    </row>
    <row r="46" spans="1:17" s="40" customFormat="1" x14ac:dyDescent="0.3">
      <c r="A46" s="104" t="s">
        <v>45</v>
      </c>
      <c r="B46" s="105"/>
      <c r="C46" s="105"/>
      <c r="D46" s="105"/>
      <c r="E46" s="105"/>
      <c r="F46" s="105"/>
      <c r="G46" s="106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3">
      <c r="A51" s="76" t="s">
        <v>58</v>
      </c>
      <c r="B51" s="77">
        <v>46074</v>
      </c>
      <c r="C51" s="78"/>
      <c r="D51" s="79"/>
      <c r="E51" s="78"/>
      <c r="F51" s="79"/>
      <c r="G51" s="80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3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3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3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3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3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3">
      <c r="C84" s="21"/>
      <c r="D84" s="65"/>
      <c r="E84" s="21"/>
      <c r="F84" s="65"/>
    </row>
    <row r="85" spans="1:10" x14ac:dyDescent="0.3">
      <c r="H85">
        <f>D86+F86</f>
        <v>167</v>
      </c>
    </row>
    <row r="86" spans="1:10" x14ac:dyDescent="0.3">
      <c r="D86" s="61">
        <f>SUM(D3:D84)</f>
        <v>80</v>
      </c>
      <c r="F86" s="61">
        <f>SUM(F3:F84)</f>
        <v>87</v>
      </c>
    </row>
  </sheetData>
  <sortState xmlns:xlrd2="http://schemas.microsoft.com/office/spreadsheetml/2017/richdata2" ref="A17:U31">
    <sortCondition ref="B17:B31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2025-11-25T00:22:40Z</dcterms:modified>
</cp:coreProperties>
</file>