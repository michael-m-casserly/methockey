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91" documentId="13_ncr:1_{6D847147-14CC-4E2E-9F58-D0DC2A8D343C}" xr6:coauthVersionLast="47" xr6:coauthVersionMax="47" xr10:uidLastSave="{A49C52BE-4D9A-421A-83D7-D932E460D6EB}"/>
  <bookViews>
    <workbookView xWindow="-120" yWindow="-120" windowWidth="38640" windowHeight="211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<sst xmlns="http://schemas.openxmlformats.org/spreadsheetml/2006/main" count="116" uniqueCount="54">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</sst>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4" sqref="Q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3.28515625" style="1" customWidth="1"/>
    <col min="4" max="4" width="3" style="1" bestFit="1" customWidth="1"/>
    <col min="5" max="5" width="3" bestFit="1" customWidth="1"/>
    <col min="6" max="6" width="3" customWidth="1"/>
    <col min="7" max="7" width="3.28515625" bestFit="1" customWidth="1"/>
    <col min="8" max="8" width="3.42578125" bestFit="1" customWidth="1"/>
    <col min="9" max="10" width="4.7109375" customWidth="1"/>
    <col min="11" max="11" width="0.85546875" customWidth="1"/>
  </cols>
  <sheetData>
    <row r="2" spans="1:16" s="2" customFormat="1" ht="12" customHeight="1" thickBot="1" x14ac:dyDescent="0.3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.75" x14ac:dyDescent="0.25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25">
      <c r="A4" s="85"/>
      <c r="B4" s="57">
        <v>1</v>
      </c>
      <c r="C4" s="59" t="s">
        <v>43</v>
      </c>
      <c r="D4" s="23">
        <v>4</v>
      </c>
      <c r="E4" s="23">
        <v>3</v>
      </c>
      <c r="F4" s="23">
        <v>1</v>
      </c>
      <c r="G4" s="23">
        <v>0</v>
      </c>
      <c r="H4" s="58">
        <v>6</v>
      </c>
      <c r="I4" s="23">
        <v>15</v>
      </c>
      <c r="J4" s="60">
        <v>12</v>
      </c>
      <c r="K4" s="85"/>
      <c r="M4" s="4">
        <v>1</v>
      </c>
      <c r="N4" t="s">
        <v>11</v>
      </c>
    </row>
    <row r="5" spans="1:16" ht="18" customHeight="1" x14ac:dyDescent="0.25">
      <c r="A5" s="85"/>
      <c r="B5" s="57">
        <v>2</v>
      </c>
      <c r="C5" s="59" t="s">
        <v>35</v>
      </c>
      <c r="D5" s="23">
        <v>3</v>
      </c>
      <c r="E5" s="23">
        <v>2</v>
      </c>
      <c r="F5" s="23">
        <v>1</v>
      </c>
      <c r="G5" s="23">
        <v>0</v>
      </c>
      <c r="H5" s="58">
        <v>4</v>
      </c>
      <c r="I5" s="23">
        <v>16</v>
      </c>
      <c r="J5" s="60">
        <v>11</v>
      </c>
      <c r="K5" s="85"/>
      <c r="M5" s="4">
        <v>2</v>
      </c>
      <c r="N5" t="s">
        <v>12</v>
      </c>
    </row>
    <row r="6" spans="1:16" ht="18" customHeight="1" x14ac:dyDescent="0.25">
      <c r="A6" s="85"/>
      <c r="B6" s="57">
        <v>3</v>
      </c>
      <c r="C6" s="59" t="s">
        <v>44</v>
      </c>
      <c r="D6" s="23">
        <v>1</v>
      </c>
      <c r="E6" s="23">
        <v>1</v>
      </c>
      <c r="F6" s="23">
        <v>0</v>
      </c>
      <c r="G6" s="23">
        <v>0</v>
      </c>
      <c r="H6" s="58">
        <v>2</v>
      </c>
      <c r="I6" s="23">
        <v>7</v>
      </c>
      <c r="J6" s="60">
        <v>4</v>
      </c>
      <c r="K6" s="85"/>
      <c r="M6" s="4">
        <v>3</v>
      </c>
      <c r="N6" t="s">
        <v>13</v>
      </c>
    </row>
    <row r="7" spans="1:16" ht="18" customHeight="1" x14ac:dyDescent="0.25">
      <c r="A7" s="85"/>
      <c r="B7" s="57">
        <v>4</v>
      </c>
      <c r="C7" s="59" t="s">
        <v>42</v>
      </c>
      <c r="D7" s="23">
        <v>2</v>
      </c>
      <c r="E7" s="23">
        <v>1</v>
      </c>
      <c r="F7" s="23">
        <v>1</v>
      </c>
      <c r="G7" s="23">
        <v>0</v>
      </c>
      <c r="H7" s="58">
        <v>2</v>
      </c>
      <c r="I7" s="23">
        <v>12</v>
      </c>
      <c r="J7" s="60">
        <v>11</v>
      </c>
      <c r="K7" s="85"/>
      <c r="M7" s="4">
        <v>4</v>
      </c>
      <c r="N7" t="s">
        <v>15</v>
      </c>
    </row>
    <row r="8" spans="1:16" ht="18" customHeight="1" x14ac:dyDescent="0.25">
      <c r="A8" s="85"/>
      <c r="B8" s="57">
        <v>5</v>
      </c>
      <c r="C8" s="59" t="s">
        <v>45</v>
      </c>
      <c r="D8" s="23">
        <v>3</v>
      </c>
      <c r="E8" s="23">
        <v>1</v>
      </c>
      <c r="F8" s="23">
        <v>2</v>
      </c>
      <c r="G8" s="23">
        <v>0</v>
      </c>
      <c r="H8" s="58">
        <v>2</v>
      </c>
      <c r="I8" s="23">
        <v>13</v>
      </c>
      <c r="J8" s="60">
        <v>14</v>
      </c>
      <c r="K8" s="85"/>
      <c r="M8" s="4">
        <v>5</v>
      </c>
      <c r="N8" t="s">
        <v>17</v>
      </c>
    </row>
    <row r="9" spans="1:16" ht="18" customHeight="1" x14ac:dyDescent="0.25">
      <c r="A9" s="85"/>
      <c r="B9" s="57">
        <v>6</v>
      </c>
      <c r="C9" s="59" t="s">
        <v>41</v>
      </c>
      <c r="D9" s="23">
        <v>1</v>
      </c>
      <c r="E9" s="23">
        <v>0</v>
      </c>
      <c r="F9" s="23">
        <v>1</v>
      </c>
      <c r="G9" s="23">
        <v>0</v>
      </c>
      <c r="H9" s="58">
        <v>0</v>
      </c>
      <c r="I9" s="23">
        <v>2</v>
      </c>
      <c r="J9" s="60">
        <v>4</v>
      </c>
      <c r="K9" s="85"/>
    </row>
    <row r="10" spans="1:16" ht="18" customHeight="1" thickBot="1" x14ac:dyDescent="0.3">
      <c r="A10" s="85"/>
      <c r="B10" s="57">
        <v>7</v>
      </c>
      <c r="C10" s="76" t="s">
        <v>40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4</v>
      </c>
      <c r="J10" s="79">
        <v>13</v>
      </c>
      <c r="K10" s="85"/>
      <c r="M10" t="s">
        <v>14</v>
      </c>
    </row>
    <row r="11" spans="1:16" ht="18" customHeight="1" thickBot="1" x14ac:dyDescent="0.3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7.25" thickTop="1" thickBot="1" x14ac:dyDescent="0.3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8</v>
      </c>
    </row>
    <row r="13" spans="1:16" ht="15.75" x14ac:dyDescent="0.25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45958.76662037037</v>
      </c>
      <c r="H13" s="86"/>
      <c r="I13" s="86"/>
      <c r="J13" s="87"/>
      <c r="K13" s="1"/>
      <c r="M13" s="32"/>
      <c r="N13" s="32"/>
      <c r="O13" s="32"/>
    </row>
    <row r="14" spans="1:16" ht="52.9" customHeight="1" thickBot="1" x14ac:dyDescent="0.3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25">
      <c r="G15" s="83" t="s">
        <v>18</v>
      </c>
      <c r="H15" s="83"/>
      <c r="I15" s="7">
        <f>SUM(I4:I12)</f>
        <v>69</v>
      </c>
      <c r="J15" s="7">
        <f>SUM(J4:J12)</f>
        <v>69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10" sqref="A10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61" bestFit="1" customWidth="1"/>
    <col min="5" max="5" width="10.85546875" style="19" bestFit="1" customWidth="1"/>
    <col min="6" max="6" width="3" style="61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28</v>
      </c>
      <c r="U1" s="72"/>
    </row>
    <row r="2" spans="1:21" ht="16.5" thickTop="1" thickBot="1" x14ac:dyDescent="0.3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8</v>
      </c>
      <c r="U2" s="75"/>
    </row>
    <row r="3" spans="1:21" s="40" customFormat="1" ht="16.5" thickTop="1" thickBot="1" x14ac:dyDescent="0.3">
      <c r="A3" s="34">
        <v>1</v>
      </c>
      <c r="B3" s="35">
        <v>45928</v>
      </c>
      <c r="C3" s="36" t="s">
        <v>35</v>
      </c>
      <c r="D3" s="62">
        <v>9</v>
      </c>
      <c r="E3" s="36" t="s">
        <v>40</v>
      </c>
      <c r="F3" s="62">
        <v>4</v>
      </c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1</v>
      </c>
      <c r="U3" s="45">
        <f>IF($T$2&gt;0, T3/$T$2, 0)</f>
        <v>0.125</v>
      </c>
    </row>
    <row r="4" spans="1:21" s="40" customFormat="1" ht="16.5" thickTop="1" thickBot="1" x14ac:dyDescent="0.3">
      <c r="A4" s="34">
        <v>2</v>
      </c>
      <c r="B4" s="35">
        <v>45935</v>
      </c>
      <c r="C4" s="36" t="s">
        <v>40</v>
      </c>
      <c r="D4" s="62">
        <v>0</v>
      </c>
      <c r="E4" s="36" t="s">
        <v>43</v>
      </c>
      <c r="F4" s="62">
        <v>4</v>
      </c>
      <c r="G4" s="37"/>
      <c r="H4" s="38" t="s">
        <v>48</v>
      </c>
      <c r="I4" s="39">
        <v>2</v>
      </c>
      <c r="J4" s="39"/>
      <c r="M4" s="42" t="s">
        <v>35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1</v>
      </c>
      <c r="U4" s="45">
        <f>IF($T$2&gt;0, T4/$T$2, 0)</f>
        <v>0.125</v>
      </c>
    </row>
    <row r="5" spans="1:21" s="40" customFormat="1" ht="16.5" thickTop="1" thickBot="1" x14ac:dyDescent="0.3">
      <c r="A5" s="34">
        <v>3</v>
      </c>
      <c r="B5" s="35">
        <v>45935</v>
      </c>
      <c r="C5" s="36" t="s">
        <v>35</v>
      </c>
      <c r="D5" s="62">
        <v>1</v>
      </c>
      <c r="E5" s="36" t="s">
        <v>45</v>
      </c>
      <c r="F5" s="62">
        <v>5</v>
      </c>
      <c r="G5" s="37"/>
      <c r="H5" s="38" t="s">
        <v>49</v>
      </c>
      <c r="I5" s="39">
        <v>1</v>
      </c>
      <c r="J5" s="39"/>
      <c r="M5" s="42" t="s">
        <v>37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0.125</v>
      </c>
    </row>
    <row r="6" spans="1:21" s="40" customFormat="1" ht="16.5" thickTop="1" thickBot="1" x14ac:dyDescent="0.3">
      <c r="A6" s="34">
        <v>5</v>
      </c>
      <c r="B6" s="35">
        <v>45947</v>
      </c>
      <c r="C6" s="36" t="s">
        <v>42</v>
      </c>
      <c r="D6" s="62">
        <v>4</v>
      </c>
      <c r="E6" s="36" t="s">
        <v>44</v>
      </c>
      <c r="F6" s="62">
        <v>7</v>
      </c>
      <c r="G6" s="37"/>
      <c r="H6" s="38" t="s">
        <v>50</v>
      </c>
      <c r="I6" s="39">
        <v>7</v>
      </c>
      <c r="J6" s="39"/>
      <c r="M6" s="42" t="s">
        <v>36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4</v>
      </c>
      <c r="U6" s="45">
        <f>IF($T$2&gt;0, T6/$T$2, 0)</f>
        <v>0.5</v>
      </c>
    </row>
    <row r="7" spans="1:21" s="40" customFormat="1" ht="16.5" thickTop="1" thickBot="1" x14ac:dyDescent="0.3">
      <c r="A7" s="34">
        <v>6</v>
      </c>
      <c r="B7" s="35">
        <v>45948</v>
      </c>
      <c r="C7" s="36" t="s">
        <v>42</v>
      </c>
      <c r="D7" s="62">
        <v>8</v>
      </c>
      <c r="E7" s="36" t="s">
        <v>45</v>
      </c>
      <c r="F7" s="62">
        <v>4</v>
      </c>
      <c r="G7" s="37"/>
      <c r="H7" s="38" t="s">
        <v>51</v>
      </c>
      <c r="I7" s="39">
        <v>1</v>
      </c>
      <c r="J7" s="39"/>
      <c r="M7" s="42" t="s">
        <v>39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1</v>
      </c>
      <c r="U7" s="48">
        <f>IF($T$2&gt;0, T7/$T$2, 0)</f>
        <v>0.125</v>
      </c>
    </row>
    <row r="8" spans="1:21" s="40" customFormat="1" ht="16.5" thickTop="1" thickBot="1" x14ac:dyDescent="0.3">
      <c r="A8" s="34">
        <v>28</v>
      </c>
      <c r="B8" s="35">
        <v>45948</v>
      </c>
      <c r="C8" s="36" t="s">
        <v>43</v>
      </c>
      <c r="D8" s="62">
        <v>4</v>
      </c>
      <c r="E8" s="36" t="s">
        <v>41</v>
      </c>
      <c r="F8" s="62">
        <v>2</v>
      </c>
      <c r="G8" s="37"/>
      <c r="H8" s="38" t="s">
        <v>52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6.5" thickTop="1" thickBot="1" x14ac:dyDescent="0.3">
      <c r="A9" s="34">
        <v>7</v>
      </c>
      <c r="B9" s="35">
        <v>45949</v>
      </c>
      <c r="C9" s="36" t="s">
        <v>45</v>
      </c>
      <c r="D9" s="62">
        <v>4</v>
      </c>
      <c r="E9" s="36" t="s">
        <v>43</v>
      </c>
      <c r="F9" s="62">
        <v>5</v>
      </c>
      <c r="G9" s="37"/>
      <c r="H9" s="38" t="s">
        <v>48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6.5" thickTop="1" thickBot="1" x14ac:dyDescent="0.3">
      <c r="A10" s="34">
        <v>8</v>
      </c>
      <c r="B10" s="35">
        <v>45956</v>
      </c>
      <c r="C10" s="36" t="s">
        <v>43</v>
      </c>
      <c r="D10" s="62">
        <v>2</v>
      </c>
      <c r="E10" s="36" t="s">
        <v>35</v>
      </c>
      <c r="F10" s="62">
        <v>6</v>
      </c>
      <c r="G10" s="37"/>
      <c r="H10" s="38" t="s">
        <v>53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6.5" thickTop="1" thickBot="1" x14ac:dyDescent="0.3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.75" thickTop="1" x14ac:dyDescent="0.25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25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25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25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25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25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25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25">
      <c r="A19" s="34">
        <v>4</v>
      </c>
      <c r="B19" s="35">
        <v>45997</v>
      </c>
      <c r="C19" s="36" t="s">
        <v>41</v>
      </c>
      <c r="D19" s="62"/>
      <c r="E19" s="36" t="s">
        <v>43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25">
      <c r="A20" s="34">
        <v>17</v>
      </c>
      <c r="B20" s="35">
        <v>45997</v>
      </c>
      <c r="C20" s="36" t="s">
        <v>40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25">
      <c r="A21" s="34">
        <v>18</v>
      </c>
      <c r="B21" s="35">
        <v>45998</v>
      </c>
      <c r="C21" s="36" t="s">
        <v>35</v>
      </c>
      <c r="D21" s="62"/>
      <c r="E21" s="36" t="s">
        <v>42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25">
      <c r="A22" s="34">
        <v>19</v>
      </c>
      <c r="B22" s="35">
        <v>46047</v>
      </c>
      <c r="C22" s="36" t="s">
        <v>45</v>
      </c>
      <c r="D22" s="62"/>
      <c r="E22" s="36" t="s">
        <v>35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25">
      <c r="A23" s="34">
        <v>20</v>
      </c>
      <c r="B23" s="35">
        <v>46053</v>
      </c>
      <c r="C23" s="36" t="s">
        <v>43</v>
      </c>
      <c r="D23" s="62"/>
      <c r="E23" s="36" t="s">
        <v>42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25">
      <c r="A24" s="34">
        <v>21</v>
      </c>
      <c r="B24" s="35">
        <v>46053</v>
      </c>
      <c r="C24" s="36" t="s">
        <v>40</v>
      </c>
      <c r="D24" s="62"/>
      <c r="E24" s="36" t="s">
        <v>44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25">
      <c r="A25" s="34">
        <v>22</v>
      </c>
      <c r="B25" s="35">
        <v>46054</v>
      </c>
      <c r="C25" s="36" t="s">
        <v>43</v>
      </c>
      <c r="D25" s="62"/>
      <c r="E25" s="36" t="s">
        <v>40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25">
      <c r="A26" s="34">
        <v>23</v>
      </c>
      <c r="B26" s="35">
        <v>46054</v>
      </c>
      <c r="C26" s="36" t="s">
        <v>44</v>
      </c>
      <c r="D26" s="62"/>
      <c r="E26" s="36" t="s">
        <v>42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25">
      <c r="A27" s="34">
        <v>24</v>
      </c>
      <c r="B27" s="35">
        <v>46060</v>
      </c>
      <c r="C27" s="36" t="s">
        <v>45</v>
      </c>
      <c r="D27" s="62"/>
      <c r="E27" s="36" t="s">
        <v>40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25">
      <c r="A28" s="34">
        <v>25</v>
      </c>
      <c r="B28" s="35">
        <v>46060</v>
      </c>
      <c r="C28" s="36" t="s">
        <v>44</v>
      </c>
      <c r="D28" s="62"/>
      <c r="E28" s="36" t="s">
        <v>43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25">
      <c r="A29" s="34">
        <v>26</v>
      </c>
      <c r="B29" s="35">
        <v>46066</v>
      </c>
      <c r="C29" s="36" t="s">
        <v>45</v>
      </c>
      <c r="D29" s="62"/>
      <c r="E29" s="36" t="s">
        <v>44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25">
      <c r="A30" s="34">
        <v>27</v>
      </c>
      <c r="B30" s="35">
        <v>46068</v>
      </c>
      <c r="C30" s="36" t="s">
        <v>44</v>
      </c>
      <c r="D30" s="62"/>
      <c r="E30" s="36" t="s">
        <v>45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25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25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25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25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25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25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25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25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25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25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25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25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25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.75" thickBot="1" x14ac:dyDescent="0.3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25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25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25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.75" thickBot="1" x14ac:dyDescent="0.3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25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25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25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25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25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25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25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25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25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25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25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25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25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25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25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25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25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25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25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25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25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25">
      <c r="C81" s="21"/>
      <c r="D81" s="65"/>
      <c r="E81" s="21"/>
      <c r="F81" s="65"/>
    </row>
    <row r="82" spans="3:8" x14ac:dyDescent="0.25">
      <c r="H82">
        <f>D83+F83</f>
        <v>69</v>
      </c>
    </row>
    <row r="83" spans="3:8" x14ac:dyDescent="0.25">
      <c r="D83" s="61">
        <f>SUM(D3:D81)</f>
        <v>32</v>
      </c>
      <c r="F83" s="61">
        <f>SUM(F3:F81)</f>
        <v>37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2025-10-28T22:24:02Z</dcterms:modified>
</cp:coreProperties>
</file>