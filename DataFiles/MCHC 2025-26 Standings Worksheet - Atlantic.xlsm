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299f8723705ec823/Webmaster/methockey/DataFiles/"/>
    </mc:Choice>
  </mc:AlternateContent>
  <xr:revisionPtr revIDLastSave="1705" documentId="13_ncr:1_{6D847147-14CC-4E2E-9F58-D0DC2A8D343C}" xr6:coauthVersionLast="47" xr6:coauthVersionMax="47" xr10:uidLastSave="{A2A55AF2-3B58-4282-8596-FF63969063B5}"/>
  <bookViews>
    <workbookView xWindow="-120" yWindow="-120" windowWidth="38640" windowHeight="21120" xr2:uid="{00000000-000D-0000-FFFF-FFFF00000000}"/>
  </bookViews>
  <sheets>
    <sheet name="Standings" sheetId="2" r:id="rId1"/>
    <sheet name="Old Results" sheetId="1" r:id="rId2"/>
  </sheets>
  <functionGroups builtInGroupCount="19"/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24" i="1" l="1"/>
  <c r="N23" i="1"/>
  <c r="P44" i="1"/>
  <c r="Q44" i="1" s="1"/>
  <c r="P43" i="1"/>
  <c r="Q43" i="1" s="1"/>
  <c r="P42" i="1"/>
  <c r="Q42" i="1" s="1"/>
  <c r="P40" i="1"/>
  <c r="Q40" i="1" s="1"/>
  <c r="P39" i="1"/>
  <c r="Q39" i="1" s="1"/>
  <c r="P38" i="1"/>
  <c r="Q38" i="1" s="1"/>
  <c r="P37" i="1"/>
  <c r="Q37" i="1" s="1"/>
  <c r="P36" i="1"/>
  <c r="Q36" i="1" s="1"/>
  <c r="P34" i="1"/>
  <c r="Q34" i="1" s="1"/>
  <c r="P33" i="1"/>
  <c r="Q33" i="1" s="1"/>
  <c r="P32" i="1"/>
  <c r="Q32" i="1" s="1"/>
  <c r="P41" i="1"/>
  <c r="Q41" i="1" s="1"/>
  <c r="P30" i="1"/>
  <c r="Q30" i="1" s="1"/>
  <c r="P29" i="1"/>
  <c r="Q29" i="1" s="1"/>
  <c r="P28" i="1"/>
  <c r="Q28" i="1" s="1"/>
  <c r="P27" i="1"/>
  <c r="Q27" i="1" s="1"/>
  <c r="P26" i="1"/>
  <c r="Q26" i="1" s="1"/>
  <c r="P25" i="1"/>
  <c r="Q25" i="1" s="1"/>
  <c r="P24" i="1"/>
  <c r="Q24" i="1" s="1"/>
  <c r="P23" i="1"/>
  <c r="Q23" i="1" s="1"/>
  <c r="P22" i="1"/>
  <c r="Q22" i="1" s="1"/>
  <c r="P21" i="1"/>
  <c r="Q21" i="1" s="1"/>
  <c r="P20" i="1"/>
  <c r="Q20" i="1" s="1"/>
  <c r="P19" i="1"/>
  <c r="Q19" i="1" s="1"/>
  <c r="P18" i="1"/>
  <c r="Q18" i="1" s="1"/>
  <c r="P17" i="1"/>
  <c r="Q17" i="1" s="1"/>
  <c r="P16" i="1"/>
  <c r="Q16" i="1" s="1"/>
  <c r="P15" i="1"/>
  <c r="Q15" i="1" s="1"/>
  <c r="I15" i="2"/>
  <c r="J15" i="2"/>
  <c r="P3" i="1"/>
  <c r="Q3" i="1" s="1"/>
  <c r="P4" i="1"/>
  <c r="Q4" i="1" s="1"/>
  <c r="P5" i="1"/>
  <c r="Q5" i="1" s="1"/>
  <c r="P6" i="1"/>
  <c r="Q6" i="1" s="1"/>
  <c r="P7" i="1"/>
  <c r="Q7" i="1" s="1"/>
  <c r="T1" i="1"/>
  <c r="P14" i="1"/>
  <c r="Q14" i="1" s="1"/>
  <c r="P35" i="1"/>
  <c r="Q35" i="1" s="1"/>
  <c r="P13" i="1"/>
  <c r="Q13" i="1" s="1"/>
  <c r="P12" i="1"/>
  <c r="Q12" i="1" s="1"/>
  <c r="P31" i="1"/>
  <c r="Q31" i="1" s="1"/>
  <c r="P11" i="1"/>
  <c r="Q11" i="1" s="1"/>
  <c r="P10" i="1"/>
  <c r="Q10" i="1" s="1"/>
  <c r="P9" i="1"/>
  <c r="Q9" i="1" s="1"/>
  <c r="P8" i="1"/>
  <c r="Q8" i="1" s="1"/>
  <c r="F86" i="1"/>
  <c r="D86" i="1"/>
  <c r="G13" i="2" a="1"/>
  <c r="H85" i="1" l="1"/>
  <c r="T7" i="1"/>
  <c r="T5" i="1"/>
  <c r="T3" i="1"/>
  <c r="T4" i="1"/>
  <c r="T6" i="1"/>
  <c r="G13" i="2"/>
  <c r="T2" i="1" l="1"/>
  <c r="U7" i="1" s="1"/>
  <c r="U3" i="1" l="1"/>
  <c r="U5" i="1"/>
  <c r="U4" i="1"/>
  <c r="U6" i="1"/>
  <c r="U8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<sst xmlns="http://schemas.openxmlformats.org/spreadsheetml/2006/main" count="126" uniqueCount="62">
  <si>
    <t>Home</t>
  </si>
  <si>
    <t>Away</t>
  </si>
  <si>
    <t>Team</t>
  </si>
  <si>
    <t>GF</t>
  </si>
  <si>
    <t>GA</t>
  </si>
  <si>
    <t>Date</t>
  </si>
  <si>
    <t>#</t>
  </si>
  <si>
    <t>A</t>
  </si>
  <si>
    <t>H</t>
  </si>
  <si>
    <t>Res</t>
  </si>
  <si>
    <t>Steps to update Standings</t>
  </si>
  <si>
    <t>Update completed games scoring</t>
  </si>
  <si>
    <t>Update last game played</t>
  </si>
  <si>
    <t>Execute CalcStandings macro</t>
  </si>
  <si>
    <t>["^" = assending and "v" = decending]</t>
  </si>
  <si>
    <t>Sort Teams based upon PTS(v), GP(^), Wins(v), &amp; GA(^)</t>
  </si>
  <si>
    <t>LAST GAME PLAYED:</t>
  </si>
  <si>
    <t>Copy MCHC Standings to web page!</t>
  </si>
  <si>
    <t>Checks=</t>
  </si>
  <si>
    <t>W</t>
  </si>
  <si>
    <t>L</t>
  </si>
  <si>
    <t>G</t>
  </si>
  <si>
    <t>Goal Diff</t>
  </si>
  <si>
    <t>ABS</t>
  </si>
  <si>
    <t>5+</t>
  </si>
  <si>
    <t>Goal Differential</t>
  </si>
  <si>
    <t>Total Games Scheduled:</t>
  </si>
  <si>
    <t>Games Played:</t>
  </si>
  <si>
    <t>*Team list needs to be in ABC order</t>
  </si>
  <si>
    <t>OL</t>
  </si>
  <si>
    <t>Pts</t>
  </si>
  <si>
    <t>Standings as of:</t>
  </si>
  <si>
    <t>FAIRFIELD</t>
  </si>
  <si>
    <t>HOFSTRA</t>
  </si>
  <si>
    <t>SHU ACDC</t>
  </si>
  <si>
    <t>STEVENS</t>
  </si>
  <si>
    <t>ST. JOHNS</t>
  </si>
  <si>
    <t>RUTGERS</t>
  </si>
  <si>
    <t>STONY BROOK</t>
  </si>
  <si>
    <t>Stevens</t>
  </si>
  <si>
    <t>St. Johns</t>
  </si>
  <si>
    <t>Rutgers</t>
  </si>
  <si>
    <t>Hofstra</t>
  </si>
  <si>
    <t>Stony Brook</t>
  </si>
  <si>
    <t>Fairfield</t>
  </si>
  <si>
    <t>2025-26 MCHC Playoffs (Atlantic)</t>
  </si>
  <si>
    <t>SHU ACDC (Away) Wins</t>
  </si>
  <si>
    <t>Hofstra (Home) Wins</t>
  </si>
  <si>
    <t>Fairfield (Home) Wins</t>
  </si>
  <si>
    <t>Stony Brook (Home) Wins</t>
  </si>
  <si>
    <t>Rutgers (Away) Wins</t>
  </si>
  <si>
    <t>Hofstra (Away) Wins</t>
  </si>
  <si>
    <t>SHU ACDC (Home) Wins</t>
  </si>
  <si>
    <t>*</t>
  </si>
  <si>
    <t>Stony Brook in OT/SO</t>
  </si>
  <si>
    <t>A1</t>
  </si>
  <si>
    <t>A2</t>
  </si>
  <si>
    <t>A3</t>
  </si>
  <si>
    <t>A5</t>
  </si>
  <si>
    <t>A4</t>
  </si>
  <si>
    <t>A6</t>
  </si>
  <si>
    <t>All Teams Qualify for Playoffs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</si>
</sst>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d\-mmm\-yyyy;@"/>
  </numFmts>
  <fonts count="2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Arial"/>
      <family val="2"/>
    </font>
    <font>
      <b/>
      <u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rgb="FF000000"/>
      <name val="Arial Rounded MT Bold"/>
      <family val="2"/>
    </font>
    <font>
      <sz val="10"/>
      <name val="Courier New"/>
      <family val="3"/>
    </font>
    <font>
      <b/>
      <sz val="10"/>
      <name val="Courier New"/>
      <family val="3"/>
    </font>
    <font>
      <sz val="9"/>
      <name val="Arial Rounded MT Bold"/>
      <family val="2"/>
    </font>
    <font>
      <sz val="9"/>
      <name val="Arial"/>
      <family val="2"/>
    </font>
    <font>
      <sz val="20"/>
      <color theme="0"/>
      <name val="Verdana"/>
      <family val="2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0"/>
      <name val="Calibri"/>
      <family val="2"/>
    </font>
    <font>
      <u/>
      <sz val="11"/>
      <color theme="10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name val="Courier New"/>
      <family val="3"/>
    </font>
    <font>
      <sz val="9"/>
      <color rgb="FF000000"/>
      <name val="Arial Rounded MT Bold"/>
      <family val="2"/>
    </font>
    <font>
      <sz val="9"/>
      <name val="Calibri"/>
      <family val="2"/>
      <scheme val="minor"/>
    </font>
    <font>
      <b/>
      <sz val="11"/>
      <color theme="3" tint="-0.249977111117893"/>
      <name val="Calibri"/>
      <family val="2"/>
    </font>
    <font>
      <sz val="11"/>
      <color theme="3" tint="-0.249977111117893"/>
      <name val="Calibri"/>
      <family val="2"/>
      <scheme val="minor"/>
    </font>
    <font>
      <sz val="10"/>
      <color theme="3" tint="-0.249977111117893"/>
      <name val="Arial"/>
      <family val="2"/>
    </font>
    <font>
      <i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color theme="3" tint="-0.249977111117893"/>
      <name val="Arial"/>
      <family val="2"/>
    </font>
    <font>
      <b/>
      <sz val="9"/>
      <name val="Arial Rounded MT Bold"/>
      <family val="2"/>
    </font>
    <font>
      <b/>
      <sz val="10"/>
      <color rgb="FF000000"/>
      <name val="Arial Rounded MT Bold"/>
      <family val="2"/>
    </font>
    <font>
      <i/>
      <sz val="11"/>
      <color theme="3" tint="-0.249977111117893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344F7C"/>
        <bgColor indexed="64"/>
      </patternFill>
    </fill>
  </fills>
  <borders count="38">
    <border>
      <left/>
      <right/>
      <top/>
      <bottom/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9" fontId="11" fillId="0" borderId="0" applyFont="0" applyFill="0" applyBorder="0" applyAlignment="0" applyProtection="0"/>
    <xf numFmtId="0" fontId="14" fillId="0" borderId="0" applyNumberFormat="0" applyFill="0" applyBorder="0" applyAlignment="0" applyProtection="0"/>
  </cellStyleXfs>
  <cellXfs count="112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2" borderId="0" xfId="0" applyFont="1" applyFill="1" applyAlignment="1">
      <alignment horizontal="center"/>
    </xf>
    <xf numFmtId="1" fontId="2" fillId="0" borderId="0" xfId="0" applyNumberFormat="1" applyFont="1" applyAlignment="1">
      <alignment horizontal="center" vertical="center"/>
    </xf>
    <xf numFmtId="0" fontId="0" fillId="0" borderId="1" xfId="0" applyBorder="1"/>
    <xf numFmtId="0" fontId="0" fillId="0" borderId="2" xfId="0" applyBorder="1"/>
    <xf numFmtId="1" fontId="0" fillId="0" borderId="0" xfId="0" applyNumberFormat="1"/>
    <xf numFmtId="0" fontId="5" fillId="0" borderId="3" xfId="0" applyFont="1" applyBorder="1" applyAlignment="1">
      <alignment horizontal="center" vertical="center" wrapText="1"/>
    </xf>
    <xf numFmtId="0" fontId="5" fillId="0" borderId="3" xfId="0" applyFont="1" applyBorder="1" applyAlignment="1">
      <alignment horizontal="center" vertical="center"/>
    </xf>
    <xf numFmtId="0" fontId="6" fillId="0" borderId="3" xfId="0" applyFont="1" applyBorder="1"/>
    <xf numFmtId="0" fontId="7" fillId="0" borderId="3" xfId="0" applyFont="1" applyBorder="1" applyAlignment="1">
      <alignment horizontal="center"/>
    </xf>
    <xf numFmtId="0" fontId="0" fillId="0" borderId="3" xfId="0" applyBorder="1"/>
    <xf numFmtId="0" fontId="0" fillId="0" borderId="3" xfId="0" applyBorder="1" applyAlignment="1">
      <alignment horizontal="center"/>
    </xf>
    <xf numFmtId="164" fontId="6" fillId="0" borderId="3" xfId="0" applyNumberFormat="1" applyFont="1" applyBorder="1" applyAlignment="1">
      <alignment horizontal="center"/>
    </xf>
    <xf numFmtId="164" fontId="5" fillId="0" borderId="3" xfId="0" applyNumberFormat="1" applyFont="1" applyBorder="1" applyAlignment="1">
      <alignment horizontal="center" vertical="center" wrapText="1"/>
    </xf>
    <xf numFmtId="164" fontId="0" fillId="0" borderId="0" xfId="0" applyNumberFormat="1" applyAlignment="1">
      <alignment horizontal="center"/>
    </xf>
    <xf numFmtId="0" fontId="0" fillId="0" borderId="6" xfId="0" applyBorder="1"/>
    <xf numFmtId="0" fontId="0" fillId="0" borderId="7" xfId="0" applyBorder="1"/>
    <xf numFmtId="0" fontId="15" fillId="0" borderId="0" xfId="0" applyFont="1" applyAlignment="1">
      <alignment horizontal="center"/>
    </xf>
    <xf numFmtId="0" fontId="16" fillId="0" borderId="3" xfId="0" applyFont="1" applyBorder="1" applyAlignment="1">
      <alignment horizontal="center"/>
    </xf>
    <xf numFmtId="0" fontId="17" fillId="0" borderId="3" xfId="0" applyFont="1" applyBorder="1" applyAlignment="1">
      <alignment horizontal="center" vertical="center" wrapText="1"/>
    </xf>
    <xf numFmtId="0" fontId="0" fillId="3" borderId="0" xfId="0" applyFill="1"/>
    <xf numFmtId="1" fontId="21" fillId="2" borderId="5" xfId="0" applyNumberFormat="1" applyFont="1" applyFill="1" applyBorder="1" applyAlignment="1">
      <alignment horizontal="center" vertical="center"/>
    </xf>
    <xf numFmtId="0" fontId="0" fillId="0" borderId="22" xfId="0" applyBorder="1"/>
    <xf numFmtId="0" fontId="7" fillId="0" borderId="25" xfId="0" applyFont="1" applyBorder="1" applyAlignment="1">
      <alignment horizontal="center"/>
    </xf>
    <xf numFmtId="164" fontId="6" fillId="0" borderId="25" xfId="0" applyNumberFormat="1" applyFont="1" applyBorder="1" applyAlignment="1">
      <alignment horizontal="center"/>
    </xf>
    <xf numFmtId="0" fontId="16" fillId="0" borderId="25" xfId="0" applyFont="1" applyBorder="1" applyAlignment="1">
      <alignment horizontal="center"/>
    </xf>
    <xf numFmtId="0" fontId="6" fillId="0" borderId="25" xfId="0" applyFont="1" applyBorder="1"/>
    <xf numFmtId="0" fontId="8" fillId="0" borderId="0" xfId="0" applyFont="1" applyAlignment="1">
      <alignment horizontal="center"/>
    </xf>
    <xf numFmtId="164" fontId="8" fillId="0" borderId="0" xfId="0" applyNumberFormat="1" applyFont="1" applyAlignment="1">
      <alignment horizontal="center"/>
    </xf>
    <xf numFmtId="0" fontId="9" fillId="0" borderId="0" xfId="0" applyFont="1"/>
    <xf numFmtId="0" fontId="4" fillId="0" borderId="0" xfId="0" applyFont="1" applyAlignment="1">
      <alignment horizontal="right"/>
    </xf>
    <xf numFmtId="0" fontId="22" fillId="2" borderId="14" xfId="0" applyFont="1" applyFill="1" applyBorder="1" applyAlignment="1">
      <alignment vertical="center" wrapText="1"/>
    </xf>
    <xf numFmtId="0" fontId="8" fillId="0" borderId="26" xfId="0" applyFont="1" applyBorder="1" applyAlignment="1">
      <alignment horizontal="center" vertical="center"/>
    </xf>
    <xf numFmtId="164" fontId="8" fillId="0" borderId="3" xfId="0" applyNumberFormat="1" applyFont="1" applyBorder="1" applyAlignment="1">
      <alignment horizontal="center" vertical="center"/>
    </xf>
    <xf numFmtId="0" fontId="18" fillId="0" borderId="3" xfId="2" applyFont="1" applyBorder="1" applyAlignment="1">
      <alignment horizontal="center" vertical="center"/>
    </xf>
    <xf numFmtId="0" fontId="9" fillId="0" borderId="27" xfId="0" applyFont="1" applyBorder="1" applyAlignment="1">
      <alignment vertical="center"/>
    </xf>
    <xf numFmtId="0" fontId="0" fillId="0" borderId="22" xfId="0" applyBorder="1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4" xfId="0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17" xfId="0" applyBorder="1" applyAlignment="1">
      <alignment vertical="center"/>
    </xf>
    <xf numFmtId="0" fontId="0" fillId="0" borderId="12" xfId="0" applyBorder="1" applyAlignment="1">
      <alignment vertical="center"/>
    </xf>
    <xf numFmtId="10" fontId="0" fillId="0" borderId="13" xfId="1" applyNumberFormat="1" applyFont="1" applyBorder="1" applyAlignment="1">
      <alignment vertical="center"/>
    </xf>
    <xf numFmtId="0" fontId="0" fillId="0" borderId="14" xfId="0" quotePrefix="1" applyBorder="1" applyAlignment="1">
      <alignment horizontal="right" vertical="center"/>
    </xf>
    <xf numFmtId="0" fontId="0" fillId="0" borderId="15" xfId="0" applyBorder="1" applyAlignment="1">
      <alignment vertical="center"/>
    </xf>
    <xf numFmtId="10" fontId="0" fillId="0" borderId="16" xfId="1" applyNumberFormat="1" applyFont="1" applyBorder="1" applyAlignment="1">
      <alignment vertical="center"/>
    </xf>
    <xf numFmtId="0" fontId="0" fillId="0" borderId="18" xfId="0" applyBorder="1" applyAlignment="1">
      <alignment vertical="center"/>
    </xf>
    <xf numFmtId="10" fontId="0" fillId="0" borderId="0" xfId="1" applyNumberFormat="1" applyFont="1" applyBorder="1" applyAlignment="1">
      <alignment vertical="center"/>
    </xf>
    <xf numFmtId="9" fontId="0" fillId="0" borderId="0" xfId="0" applyNumberFormat="1" applyAlignment="1">
      <alignment vertical="center"/>
    </xf>
    <xf numFmtId="0" fontId="8" fillId="0" borderId="28" xfId="0" applyFont="1" applyBorder="1" applyAlignment="1">
      <alignment horizontal="center" vertical="center"/>
    </xf>
    <xf numFmtId="164" fontId="8" fillId="0" borderId="29" xfId="0" applyNumberFormat="1" applyFont="1" applyBorder="1" applyAlignment="1">
      <alignment horizontal="center" vertical="center"/>
    </xf>
    <xf numFmtId="0" fontId="18" fillId="0" borderId="29" xfId="2" applyFont="1" applyBorder="1" applyAlignment="1">
      <alignment horizontal="center" vertical="center"/>
    </xf>
    <xf numFmtId="0" fontId="9" fillId="0" borderId="30" xfId="0" applyFont="1" applyBorder="1" applyAlignment="1">
      <alignment vertical="center"/>
    </xf>
    <xf numFmtId="14" fontId="23" fillId="2" borderId="23" xfId="0" applyNumberFormat="1" applyFont="1" applyFill="1" applyBorder="1" applyAlignment="1">
      <alignment vertical="center"/>
    </xf>
    <xf numFmtId="0" fontId="20" fillId="2" borderId="0" xfId="0" applyFont="1" applyFill="1" applyAlignment="1">
      <alignment horizontal="center" vertical="center"/>
    </xf>
    <xf numFmtId="1" fontId="24" fillId="2" borderId="5" xfId="0" applyNumberFormat="1" applyFont="1" applyFill="1" applyBorder="1" applyAlignment="1">
      <alignment horizontal="center" vertical="center"/>
    </xf>
    <xf numFmtId="0" fontId="19" fillId="2" borderId="31" xfId="0" applyFont="1" applyFill="1" applyBorder="1" applyAlignment="1">
      <alignment horizontal="center" vertical="center"/>
    </xf>
    <xf numFmtId="1" fontId="21" fillId="2" borderId="32" xfId="0" applyNumberFormat="1" applyFont="1" applyFill="1" applyBorder="1" applyAlignment="1">
      <alignment horizontal="center" vertical="center"/>
    </xf>
    <xf numFmtId="0" fontId="1" fillId="0" borderId="0" xfId="0" applyFont="1" applyAlignment="1">
      <alignment horizontal="center"/>
    </xf>
    <xf numFmtId="0" fontId="25" fillId="0" borderId="3" xfId="0" applyFont="1" applyBorder="1" applyAlignment="1">
      <alignment horizontal="center" vertical="center"/>
    </xf>
    <xf numFmtId="0" fontId="25" fillId="0" borderId="29" xfId="0" applyFont="1" applyBorder="1" applyAlignment="1">
      <alignment horizontal="center" vertical="center"/>
    </xf>
    <xf numFmtId="0" fontId="25" fillId="0" borderId="0" xfId="0" applyFont="1" applyAlignment="1">
      <alignment horizontal="center"/>
    </xf>
    <xf numFmtId="0" fontId="26" fillId="0" borderId="3" xfId="0" applyFont="1" applyBorder="1" applyAlignment="1">
      <alignment horizontal="center" vertical="center" wrapText="1"/>
    </xf>
    <xf numFmtId="0" fontId="13" fillId="4" borderId="9" xfId="0" applyFont="1" applyFill="1" applyBorder="1" applyAlignment="1">
      <alignment horizontal="center"/>
    </xf>
    <xf numFmtId="0" fontId="13" fillId="4" borderId="10" xfId="0" applyFont="1" applyFill="1" applyBorder="1" applyAlignment="1">
      <alignment horizontal="center"/>
    </xf>
    <xf numFmtId="0" fontId="13" fillId="4" borderId="11" xfId="0" applyFont="1" applyFill="1" applyBorder="1" applyAlignment="1">
      <alignment horizontal="center"/>
    </xf>
    <xf numFmtId="0" fontId="12" fillId="4" borderId="9" xfId="0" applyFont="1" applyFill="1" applyBorder="1" applyAlignment="1">
      <alignment horizontal="center"/>
    </xf>
    <xf numFmtId="164" fontId="12" fillId="4" borderId="10" xfId="0" applyNumberFormat="1" applyFont="1" applyFill="1" applyBorder="1" applyAlignment="1">
      <alignment horizontal="center"/>
    </xf>
    <xf numFmtId="0" fontId="12" fillId="4" borderId="10" xfId="0" applyFont="1" applyFill="1" applyBorder="1" applyAlignment="1">
      <alignment horizontal="center"/>
    </xf>
    <xf numFmtId="0" fontId="12" fillId="4" borderId="11" xfId="0" applyFont="1" applyFill="1" applyBorder="1"/>
    <xf numFmtId="0" fontId="12" fillId="4" borderId="10" xfId="0" applyFont="1" applyFill="1" applyBorder="1"/>
    <xf numFmtId="0" fontId="12" fillId="4" borderId="15" xfId="0" applyFont="1" applyFill="1" applyBorder="1"/>
    <xf numFmtId="0" fontId="12" fillId="4" borderId="16" xfId="0" applyFont="1" applyFill="1" applyBorder="1"/>
    <xf numFmtId="0" fontId="19" fillId="2" borderId="33" xfId="0" applyFont="1" applyFill="1" applyBorder="1" applyAlignment="1">
      <alignment horizontal="center" vertical="center"/>
    </xf>
    <xf numFmtId="1" fontId="21" fillId="2" borderId="7" xfId="0" applyNumberFormat="1" applyFont="1" applyFill="1" applyBorder="1" applyAlignment="1">
      <alignment horizontal="center" vertical="center"/>
    </xf>
    <xf numFmtId="1" fontId="24" fillId="2" borderId="7" xfId="0" applyNumberFormat="1" applyFont="1" applyFill="1" applyBorder="1" applyAlignment="1">
      <alignment horizontal="center" vertical="center"/>
    </xf>
    <xf numFmtId="1" fontId="21" fillId="2" borderId="34" xfId="0" applyNumberFormat="1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1" xfId="0" applyFont="1" applyBorder="1" applyAlignment="1">
      <alignment horizontal="right"/>
    </xf>
    <xf numFmtId="0" fontId="1" fillId="0" borderId="0" xfId="0" applyFont="1" applyAlignment="1">
      <alignment horizontal="right"/>
    </xf>
    <xf numFmtId="0" fontId="10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14" fontId="23" fillId="2" borderId="8" xfId="0" applyNumberFormat="1" applyFont="1" applyFill="1" applyBorder="1" applyAlignment="1">
      <alignment horizontal="left" vertical="center"/>
    </xf>
    <xf numFmtId="14" fontId="23" fillId="2" borderId="21" xfId="0" applyNumberFormat="1" applyFont="1" applyFill="1" applyBorder="1" applyAlignment="1">
      <alignment horizontal="left" vertical="center"/>
    </xf>
    <xf numFmtId="14" fontId="23" fillId="2" borderId="23" xfId="0" applyNumberFormat="1" applyFont="1" applyFill="1" applyBorder="1" applyAlignment="1">
      <alignment horizontal="right" vertical="center"/>
    </xf>
    <xf numFmtId="14" fontId="23" fillId="2" borderId="8" xfId="0" applyNumberFormat="1" applyFont="1" applyFill="1" applyBorder="1" applyAlignment="1">
      <alignment horizontal="right" vertical="center"/>
    </xf>
    <xf numFmtId="0" fontId="22" fillId="2" borderId="24" xfId="0" applyFont="1" applyFill="1" applyBorder="1" applyAlignment="1">
      <alignment horizontal="center" vertical="center" wrapText="1"/>
    </xf>
    <xf numFmtId="0" fontId="22" fillId="2" borderId="19" xfId="0" applyFont="1" applyFill="1" applyBorder="1" applyAlignment="1">
      <alignment horizontal="center" vertical="center"/>
    </xf>
    <xf numFmtId="0" fontId="22" fillId="2" borderId="20" xfId="0" applyFont="1" applyFill="1" applyBorder="1" applyAlignment="1">
      <alignment horizontal="center" vertical="center"/>
    </xf>
    <xf numFmtId="0" fontId="27" fillId="2" borderId="9" xfId="0" applyFont="1" applyFill="1" applyBorder="1" applyAlignment="1">
      <alignment horizontal="center"/>
    </xf>
    <xf numFmtId="0" fontId="27" fillId="2" borderId="10" xfId="0" applyFont="1" applyFill="1" applyBorder="1" applyAlignment="1">
      <alignment horizontal="center"/>
    </xf>
    <xf numFmtId="0" fontId="27" fillId="2" borderId="11" xfId="0" applyFont="1" applyFill="1" applyBorder="1" applyAlignment="1">
      <alignment horizontal="center"/>
    </xf>
    <xf numFmtId="0" fontId="27" fillId="2" borderId="14" xfId="0" applyFont="1" applyFill="1" applyBorder="1" applyAlignment="1">
      <alignment horizontal="center" vertical="top"/>
    </xf>
    <xf numFmtId="0" fontId="27" fillId="2" borderId="15" xfId="0" applyFont="1" applyFill="1" applyBorder="1" applyAlignment="1">
      <alignment horizontal="center" vertical="top"/>
    </xf>
    <xf numFmtId="0" fontId="27" fillId="2" borderId="16" xfId="0" applyFont="1" applyFill="1" applyBorder="1" applyAlignment="1">
      <alignment horizontal="center" vertical="top"/>
    </xf>
    <xf numFmtId="0" fontId="12" fillId="4" borderId="9" xfId="0" applyFont="1" applyFill="1" applyBorder="1" applyAlignment="1">
      <alignment horizontal="right"/>
    </xf>
    <xf numFmtId="0" fontId="12" fillId="4" borderId="10" xfId="0" applyFont="1" applyFill="1" applyBorder="1" applyAlignment="1">
      <alignment horizontal="right"/>
    </xf>
    <xf numFmtId="0" fontId="12" fillId="4" borderId="14" xfId="0" applyFont="1" applyFill="1" applyBorder="1" applyAlignment="1">
      <alignment horizontal="right"/>
    </xf>
    <xf numFmtId="0" fontId="12" fillId="4" borderId="15" xfId="0" applyFont="1" applyFill="1" applyBorder="1" applyAlignment="1">
      <alignment horizontal="right"/>
    </xf>
    <xf numFmtId="0" fontId="13" fillId="4" borderId="9" xfId="0" applyFont="1" applyFill="1" applyBorder="1" applyAlignment="1">
      <alignment horizontal="center" vertical="center"/>
    </xf>
    <xf numFmtId="0" fontId="13" fillId="4" borderId="10" xfId="0" applyFont="1" applyFill="1" applyBorder="1" applyAlignment="1">
      <alignment horizontal="center" vertical="center"/>
    </xf>
    <xf numFmtId="0" fontId="13" fillId="4" borderId="11" xfId="0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35" xfId="0" applyFont="1" applyBorder="1" applyAlignment="1">
      <alignment horizontal="center" vertical="center"/>
    </xf>
    <xf numFmtId="164" fontId="8" fillId="0" borderId="36" xfId="0" applyNumberFormat="1" applyFont="1" applyBorder="1" applyAlignment="1">
      <alignment horizontal="center" vertical="center"/>
    </xf>
    <xf numFmtId="0" fontId="18" fillId="0" borderId="36" xfId="2" applyFont="1" applyBorder="1" applyAlignment="1">
      <alignment horizontal="center" vertical="center"/>
    </xf>
    <xf numFmtId="0" fontId="25" fillId="0" borderId="36" xfId="0" applyFont="1" applyBorder="1" applyAlignment="1">
      <alignment horizontal="center" vertical="center"/>
    </xf>
    <xf numFmtId="0" fontId="9" fillId="0" borderId="37" xfId="0" applyFont="1" applyBorder="1" applyAlignment="1">
      <alignment vertical="center"/>
    </xf>
  </cellXfs>
  <cellStyles count="3">
    <cellStyle name="Hyperlink" xfId="2" builtinId="8"/>
    <cellStyle name="Normal" xfId="0" builtinId="0"/>
    <cellStyle name="Percent" xfId="1" builtinId="5"/>
  </cellStyles>
  <dxfs count="0"/>
  <tableStyles count="0" defaultTableStyle="TableStyleMedium9" defaultPivotStyle="PivotStyleLight16"/>
  <colors>
    <mruColors>
      <color rgb="FF344F7C"/>
      <color rgb="FF00990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13</xdr:row>
      <xdr:rowOff>38100</xdr:rowOff>
    </xdr:from>
    <xdr:to>
      <xdr:col>15</xdr:col>
      <xdr:colOff>0</xdr:colOff>
      <xdr:row>13</xdr:row>
      <xdr:rowOff>257175</xdr:rowOff>
    </xdr:to>
    <xdr:sp macro="[0]!Module1.calcStandings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610475" y="3143250"/>
          <a:ext cx="1219200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CalcStandings</a:t>
          </a:r>
        </a:p>
      </xdr:txBody>
    </xdr:sp>
    <xdr:clientData/>
  </xdr:twoCellAnchor>
  <xdr:twoCellAnchor>
    <xdr:from>
      <xdr:col>13</xdr:col>
      <xdr:colOff>0</xdr:colOff>
      <xdr:row>15</xdr:row>
      <xdr:rowOff>0</xdr:rowOff>
    </xdr:from>
    <xdr:to>
      <xdr:col>15</xdr:col>
      <xdr:colOff>0</xdr:colOff>
      <xdr:row>16</xdr:row>
      <xdr:rowOff>28575</xdr:rowOff>
    </xdr:to>
    <xdr:sp macro="[0]!SortStandings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7610475" y="3609975"/>
          <a:ext cx="1219200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SortStandings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C00000"/>
  </sheetPr>
  <dimension ref="A2:P15"/>
  <sheetViews>
    <sheetView tabSelected="1" workbookViewId="0">
      <selection activeCell="W23" sqref="W23"/>
    </sheetView>
  </sheetViews>
  <sheetFormatPr defaultRowHeight="15" x14ac:dyDescent="0.25"/>
  <cols>
    <col min="1" max="1" width="0.85546875" customWidth="1"/>
    <col min="2" max="2" width="2" style="1" bestFit="1" customWidth="1"/>
    <col min="3" max="3" width="13.28515625" style="1" customWidth="1"/>
    <col min="4" max="4" width="3" style="1" bestFit="1" customWidth="1"/>
    <col min="5" max="5" width="3" bestFit="1" customWidth="1"/>
    <col min="6" max="6" width="3" customWidth="1"/>
    <col min="7" max="7" width="3.28515625" bestFit="1" customWidth="1"/>
    <col min="8" max="8" width="3.42578125" bestFit="1" customWidth="1"/>
    <col min="9" max="10" width="4.7109375" customWidth="1"/>
    <col min="11" max="11" width="0.85546875" customWidth="1"/>
  </cols>
  <sheetData>
    <row r="2" spans="1:16" s="2" customFormat="1" ht="12" customHeight="1" thickBot="1" x14ac:dyDescent="0.3">
      <c r="A2" s="84"/>
      <c r="B2" s="84"/>
      <c r="C2" s="84"/>
      <c r="D2" s="84"/>
      <c r="E2" s="84"/>
      <c r="F2" s="84"/>
      <c r="G2" s="84"/>
      <c r="H2" s="84"/>
      <c r="I2" s="84"/>
      <c r="J2" s="84"/>
      <c r="K2" s="84"/>
    </row>
    <row r="3" spans="1:16" ht="18.75" x14ac:dyDescent="0.25">
      <c r="A3" s="85"/>
      <c r="B3" s="66"/>
      <c r="C3" s="66" t="s">
        <v>2</v>
      </c>
      <c r="D3" s="67" t="s">
        <v>21</v>
      </c>
      <c r="E3" s="67" t="s">
        <v>19</v>
      </c>
      <c r="F3" s="67" t="s">
        <v>20</v>
      </c>
      <c r="G3" s="67" t="s">
        <v>29</v>
      </c>
      <c r="H3" s="67" t="s">
        <v>30</v>
      </c>
      <c r="I3" s="67" t="s">
        <v>3</v>
      </c>
      <c r="J3" s="68" t="s">
        <v>4</v>
      </c>
      <c r="K3" s="85"/>
      <c r="M3" s="80" t="s">
        <v>10</v>
      </c>
      <c r="N3" s="81"/>
      <c r="O3" s="81"/>
      <c r="P3" s="81"/>
    </row>
    <row r="4" spans="1:16" ht="18" customHeight="1" x14ac:dyDescent="0.25">
      <c r="A4" s="85"/>
      <c r="B4" s="57">
        <v>1</v>
      </c>
      <c r="C4" s="59" t="s">
        <v>34</v>
      </c>
      <c r="D4" s="23">
        <v>5</v>
      </c>
      <c r="E4" s="23">
        <v>3</v>
      </c>
      <c r="F4" s="23">
        <v>1</v>
      </c>
      <c r="G4" s="23">
        <v>1</v>
      </c>
      <c r="H4" s="58">
        <v>7</v>
      </c>
      <c r="I4" s="23">
        <v>27</v>
      </c>
      <c r="J4" s="60">
        <v>18</v>
      </c>
      <c r="K4" s="85"/>
      <c r="M4" s="4">
        <v>1</v>
      </c>
      <c r="N4" t="s">
        <v>11</v>
      </c>
    </row>
    <row r="5" spans="1:16" ht="18" customHeight="1" x14ac:dyDescent="0.25">
      <c r="A5" s="85"/>
      <c r="B5" s="57">
        <v>2</v>
      </c>
      <c r="C5" s="59" t="s">
        <v>42</v>
      </c>
      <c r="D5" s="23">
        <v>5</v>
      </c>
      <c r="E5" s="23">
        <v>3</v>
      </c>
      <c r="F5" s="23">
        <v>2</v>
      </c>
      <c r="G5" s="23">
        <v>0</v>
      </c>
      <c r="H5" s="58">
        <v>6</v>
      </c>
      <c r="I5" s="23">
        <v>18</v>
      </c>
      <c r="J5" s="60">
        <v>21</v>
      </c>
      <c r="K5" s="85"/>
      <c r="M5" s="4">
        <v>2</v>
      </c>
      <c r="N5" t="s">
        <v>12</v>
      </c>
    </row>
    <row r="6" spans="1:16" ht="18" customHeight="1" x14ac:dyDescent="0.25">
      <c r="A6" s="85"/>
      <c r="B6" s="57">
        <v>3</v>
      </c>
      <c r="C6" s="59" t="s">
        <v>41</v>
      </c>
      <c r="D6" s="23">
        <v>3</v>
      </c>
      <c r="E6" s="23">
        <v>2</v>
      </c>
      <c r="F6" s="23">
        <v>1</v>
      </c>
      <c r="G6" s="23">
        <v>0</v>
      </c>
      <c r="H6" s="58">
        <v>4</v>
      </c>
      <c r="I6" s="23">
        <v>21</v>
      </c>
      <c r="J6" s="60">
        <v>14</v>
      </c>
      <c r="K6" s="85"/>
      <c r="M6" s="4">
        <v>3</v>
      </c>
      <c r="N6" t="s">
        <v>13</v>
      </c>
    </row>
    <row r="7" spans="1:16" ht="18" customHeight="1" x14ac:dyDescent="0.25">
      <c r="A7" s="85"/>
      <c r="B7" s="57">
        <v>4</v>
      </c>
      <c r="C7" s="59" t="s">
        <v>43</v>
      </c>
      <c r="D7" s="23">
        <v>3</v>
      </c>
      <c r="E7" s="23">
        <v>2</v>
      </c>
      <c r="F7" s="23">
        <v>1</v>
      </c>
      <c r="G7" s="23">
        <v>0</v>
      </c>
      <c r="H7" s="58">
        <v>4</v>
      </c>
      <c r="I7" s="23">
        <v>14</v>
      </c>
      <c r="J7" s="60">
        <v>15</v>
      </c>
      <c r="K7" s="85"/>
      <c r="M7" s="4">
        <v>4</v>
      </c>
      <c r="N7" t="s">
        <v>15</v>
      </c>
    </row>
    <row r="8" spans="1:16" ht="18" customHeight="1" x14ac:dyDescent="0.25">
      <c r="A8" s="85"/>
      <c r="B8" s="57">
        <v>5</v>
      </c>
      <c r="C8" s="59" t="s">
        <v>44</v>
      </c>
      <c r="D8" s="23">
        <v>3</v>
      </c>
      <c r="E8" s="23">
        <v>1</v>
      </c>
      <c r="F8" s="23">
        <v>2</v>
      </c>
      <c r="G8" s="23">
        <v>0</v>
      </c>
      <c r="H8" s="58">
        <v>2</v>
      </c>
      <c r="I8" s="23">
        <v>13</v>
      </c>
      <c r="J8" s="60">
        <v>14</v>
      </c>
      <c r="K8" s="85"/>
      <c r="M8" s="4">
        <v>5</v>
      </c>
      <c r="N8" t="s">
        <v>17</v>
      </c>
    </row>
    <row r="9" spans="1:16" ht="18" customHeight="1" x14ac:dyDescent="0.25">
      <c r="A9" s="85"/>
      <c r="B9" s="57">
        <v>6</v>
      </c>
      <c r="C9" s="59" t="s">
        <v>40</v>
      </c>
      <c r="D9" s="23">
        <v>1</v>
      </c>
      <c r="E9" s="23">
        <v>0</v>
      </c>
      <c r="F9" s="23">
        <v>1</v>
      </c>
      <c r="G9" s="23">
        <v>0</v>
      </c>
      <c r="H9" s="58">
        <v>0</v>
      </c>
      <c r="I9" s="23">
        <v>2</v>
      </c>
      <c r="J9" s="60">
        <v>4</v>
      </c>
      <c r="K9" s="85"/>
    </row>
    <row r="10" spans="1:16" ht="18" customHeight="1" thickBot="1" x14ac:dyDescent="0.3">
      <c r="A10" s="85"/>
      <c r="B10" s="57">
        <v>7</v>
      </c>
      <c r="C10" s="76" t="s">
        <v>39</v>
      </c>
      <c r="D10" s="77">
        <v>2</v>
      </c>
      <c r="E10" s="77">
        <v>0</v>
      </c>
      <c r="F10" s="77">
        <v>2</v>
      </c>
      <c r="G10" s="77">
        <v>0</v>
      </c>
      <c r="H10" s="78">
        <v>0</v>
      </c>
      <c r="I10" s="77">
        <v>4</v>
      </c>
      <c r="J10" s="79">
        <v>13</v>
      </c>
      <c r="K10" s="85"/>
      <c r="M10" t="s">
        <v>14</v>
      </c>
    </row>
    <row r="11" spans="1:16" ht="18" customHeight="1" thickBot="1" x14ac:dyDescent="0.3">
      <c r="A11" s="85"/>
      <c r="B11" s="57"/>
      <c r="C11" s="93"/>
      <c r="D11" s="94"/>
      <c r="E11" s="94"/>
      <c r="F11" s="94"/>
      <c r="G11" s="94"/>
      <c r="H11" s="94"/>
      <c r="I11" s="94"/>
      <c r="J11" s="95"/>
      <c r="K11" s="85"/>
    </row>
    <row r="12" spans="1:16" ht="17.25" thickTop="1" thickBot="1" x14ac:dyDescent="0.3">
      <c r="A12" s="85"/>
      <c r="B12" s="57"/>
      <c r="C12" s="96"/>
      <c r="D12" s="97"/>
      <c r="E12" s="97"/>
      <c r="F12" s="97"/>
      <c r="G12" s="97"/>
      <c r="H12" s="97"/>
      <c r="I12" s="97"/>
      <c r="J12" s="98"/>
      <c r="K12" s="85"/>
      <c r="M12" s="82" t="s">
        <v>16</v>
      </c>
      <c r="N12" s="82"/>
      <c r="O12" s="82"/>
      <c r="P12" s="5">
        <v>11</v>
      </c>
    </row>
    <row r="13" spans="1:16" ht="15.75" x14ac:dyDescent="0.25">
      <c r="A13" s="1"/>
      <c r="B13" s="56"/>
      <c r="C13" s="88" t="s">
        <v>31</v>
      </c>
      <c r="D13" s="89"/>
      <c r="E13" s="89"/>
      <c r="F13" s="89"/>
      <c r="G13" s="86" cm="1">
        <f t="array" aca="1" ref="G13" ca="1">LastModified()</f>
        <v>45967.834409722222</v>
      </c>
      <c r="H13" s="86"/>
      <c r="I13" s="86"/>
      <c r="J13" s="87"/>
      <c r="K13" s="1"/>
      <c r="M13" s="32"/>
      <c r="N13" s="32"/>
      <c r="O13" s="32"/>
    </row>
    <row r="14" spans="1:16" ht="52.9" customHeight="1" thickBot="1" x14ac:dyDescent="0.3">
      <c r="B14" s="33"/>
      <c r="C14" s="90" t="s">
        <v>61</v>
      </c>
      <c r="D14" s="91"/>
      <c r="E14" s="91"/>
      <c r="F14" s="91"/>
      <c r="G14" s="91"/>
      <c r="H14" s="91"/>
      <c r="I14" s="91"/>
      <c r="J14" s="92"/>
    </row>
    <row r="15" spans="1:16" x14ac:dyDescent="0.25">
      <c r="G15" s="83" t="s">
        <v>18</v>
      </c>
      <c r="H15" s="83"/>
      <c r="I15" s="7">
        <f>SUM(I4:I12)</f>
        <v>99</v>
      </c>
      <c r="J15" s="7">
        <f>SUM(J4:J12)</f>
        <v>99</v>
      </c>
    </row>
  </sheetData>
  <sortState xmlns:xlrd2="http://schemas.microsoft.com/office/spreadsheetml/2017/richdata2" ref="C4:J10">
    <sortCondition descending="1" ref="H4:H10"/>
    <sortCondition descending="1" ref="E4:E10"/>
    <sortCondition ref="D4:D10"/>
    <sortCondition descending="1" ref="I4:I10"/>
    <sortCondition ref="J4:J10"/>
  </sortState>
  <mergeCells count="11">
    <mergeCell ref="M3:P3"/>
    <mergeCell ref="M12:O12"/>
    <mergeCell ref="G15:H15"/>
    <mergeCell ref="A2:K2"/>
    <mergeCell ref="A3:A12"/>
    <mergeCell ref="K3:K12"/>
    <mergeCell ref="G13:J13"/>
    <mergeCell ref="C13:F13"/>
    <mergeCell ref="C14:J14"/>
    <mergeCell ref="C11:J11"/>
    <mergeCell ref="C12:J12"/>
  </mergeCells>
  <pageMargins left="0.7" right="0.7" top="0.75" bottom="0.75" header="0.3" footer="0.3"/>
  <pageSetup orientation="portrait" r:id="rId1"/>
  <drawing r:id="rId2"/>
  <webPublishItems count="1">
    <webPublishItem id="15919" divId="MCHC 2021-22 Standings Worksheet_15919" sourceType="range" sourceRef="C3:J14" destinationFile="C:\Users\casse\OneDrive\Webmaster\methockey\standings\standings-atlantic-include.html" autoRepublish="1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FF00"/>
  </sheetPr>
  <dimension ref="A1:U86"/>
  <sheetViews>
    <sheetView zoomScaleNormal="100" workbookViewId="0">
      <selection activeCell="Y38" sqref="Y38"/>
    </sheetView>
  </sheetViews>
  <sheetFormatPr defaultRowHeight="15" x14ac:dyDescent="0.25"/>
  <cols>
    <col min="1" max="1" width="3.5703125" style="1" bestFit="1" customWidth="1"/>
    <col min="2" max="2" width="11.42578125" style="16" bestFit="1" customWidth="1"/>
    <col min="3" max="3" width="10.85546875" style="19" bestFit="1" customWidth="1"/>
    <col min="4" max="4" width="3" style="61" bestFit="1" customWidth="1"/>
    <col min="5" max="5" width="10.85546875" style="19" bestFit="1" customWidth="1"/>
    <col min="6" max="6" width="3" style="61" bestFit="1" customWidth="1"/>
    <col min="7" max="7" width="3" bestFit="1" customWidth="1"/>
    <col min="8" max="8" width="32.7109375" customWidth="1"/>
    <col min="9" max="10" width="4.7109375" style="1" customWidth="1"/>
    <col min="11" max="12" width="1.7109375" customWidth="1"/>
    <col min="13" max="13" width="14.140625" customWidth="1"/>
    <col min="17" max="17" width="4.28515625" bestFit="1" customWidth="1"/>
    <col min="18" max="18" width="3" bestFit="1" customWidth="1"/>
    <col min="19" max="19" width="19.140625" customWidth="1"/>
    <col min="20" max="20" width="3" bestFit="1" customWidth="1"/>
  </cols>
  <sheetData>
    <row r="1" spans="1:21" ht="16.5" thickTop="1" thickBot="1" x14ac:dyDescent="0.3">
      <c r="H1" s="3" t="s">
        <v>9</v>
      </c>
      <c r="I1" s="1" t="s">
        <v>7</v>
      </c>
      <c r="J1" s="1" t="s">
        <v>8</v>
      </c>
      <c r="M1" s="6" t="s">
        <v>32</v>
      </c>
      <c r="N1" s="6">
        <v>1</v>
      </c>
      <c r="O1" s="22" t="s">
        <v>28</v>
      </c>
      <c r="R1" s="99" t="s">
        <v>26</v>
      </c>
      <c r="S1" s="100"/>
      <c r="T1" s="73">
        <f>MAX(A:A)</f>
        <v>28</v>
      </c>
      <c r="U1" s="72"/>
    </row>
    <row r="2" spans="1:21" ht="16.5" thickTop="1" thickBot="1" x14ac:dyDescent="0.3">
      <c r="A2" s="69" t="s">
        <v>6</v>
      </c>
      <c r="B2" s="70" t="s">
        <v>5</v>
      </c>
      <c r="C2" s="71" t="s">
        <v>1</v>
      </c>
      <c r="D2" s="71"/>
      <c r="E2" s="71" t="s">
        <v>0</v>
      </c>
      <c r="F2" s="71"/>
      <c r="G2" s="72"/>
      <c r="H2" s="3"/>
      <c r="M2" s="6" t="s">
        <v>33</v>
      </c>
      <c r="N2" s="6">
        <v>2</v>
      </c>
      <c r="P2" s="17" t="s">
        <v>22</v>
      </c>
      <c r="Q2" s="18" t="s">
        <v>23</v>
      </c>
      <c r="R2" s="101" t="s">
        <v>27</v>
      </c>
      <c r="S2" s="102"/>
      <c r="T2" s="74">
        <f>SUM(T3:T7)</f>
        <v>11</v>
      </c>
      <c r="U2" s="75"/>
    </row>
    <row r="3" spans="1:21" s="40" customFormat="1" ht="16.5" thickTop="1" thickBot="1" x14ac:dyDescent="0.3">
      <c r="A3" s="34">
        <v>1</v>
      </c>
      <c r="B3" s="35">
        <v>45928</v>
      </c>
      <c r="C3" s="36" t="s">
        <v>34</v>
      </c>
      <c r="D3" s="62">
        <v>9</v>
      </c>
      <c r="E3" s="36" t="s">
        <v>39</v>
      </c>
      <c r="F3" s="62">
        <v>4</v>
      </c>
      <c r="G3" s="37"/>
      <c r="H3" s="38" t="s">
        <v>46</v>
      </c>
      <c r="I3" s="39">
        <v>6</v>
      </c>
      <c r="J3" s="39"/>
      <c r="M3" s="41" t="s">
        <v>37</v>
      </c>
      <c r="N3" s="42">
        <v>3</v>
      </c>
      <c r="P3" s="43">
        <f>D3-F3</f>
        <v>5</v>
      </c>
      <c r="Q3" s="40">
        <f>ABS(P3)</f>
        <v>5</v>
      </c>
      <c r="R3" s="44">
        <v>1</v>
      </c>
      <c r="S3" s="40" t="s">
        <v>25</v>
      </c>
      <c r="T3" s="40">
        <f>COUNTIF($Q$3:$Q$44,R3)</f>
        <v>2</v>
      </c>
      <c r="U3" s="45">
        <f>IF($T$2&gt;0, T3/$T$2, 0)</f>
        <v>0.18181818181818182</v>
      </c>
    </row>
    <row r="4" spans="1:21" s="40" customFormat="1" ht="16.5" thickTop="1" thickBot="1" x14ac:dyDescent="0.3">
      <c r="A4" s="34">
        <v>2</v>
      </c>
      <c r="B4" s="35">
        <v>45935</v>
      </c>
      <c r="C4" s="36" t="s">
        <v>39</v>
      </c>
      <c r="D4" s="62">
        <v>0</v>
      </c>
      <c r="E4" s="36" t="s">
        <v>42</v>
      </c>
      <c r="F4" s="62">
        <v>4</v>
      </c>
      <c r="G4" s="37"/>
      <c r="H4" s="38" t="s">
        <v>47</v>
      </c>
      <c r="I4" s="39">
        <v>2</v>
      </c>
      <c r="J4" s="39"/>
      <c r="M4" s="42" t="s">
        <v>34</v>
      </c>
      <c r="N4" s="42">
        <v>4</v>
      </c>
      <c r="P4" s="43">
        <f t="shared" ref="P4:P11" si="0">D4-F4</f>
        <v>-4</v>
      </c>
      <c r="Q4" s="40">
        <f t="shared" ref="Q4:Q11" si="1">ABS(P4)</f>
        <v>4</v>
      </c>
      <c r="R4" s="44">
        <v>2</v>
      </c>
      <c r="S4" s="40" t="s">
        <v>25</v>
      </c>
      <c r="T4" s="40">
        <f>COUNTIF($Q$3:$Q$44,R4)</f>
        <v>1</v>
      </c>
      <c r="U4" s="45">
        <f>IF($T$2&gt;0, T4/$T$2, 0)</f>
        <v>9.0909090909090912E-2</v>
      </c>
    </row>
    <row r="5" spans="1:21" s="40" customFormat="1" ht="16.5" thickTop="1" thickBot="1" x14ac:dyDescent="0.3">
      <c r="A5" s="34">
        <v>3</v>
      </c>
      <c r="B5" s="35">
        <v>45935</v>
      </c>
      <c r="C5" s="36" t="s">
        <v>34</v>
      </c>
      <c r="D5" s="62">
        <v>1</v>
      </c>
      <c r="E5" s="36" t="s">
        <v>44</v>
      </c>
      <c r="F5" s="62">
        <v>5</v>
      </c>
      <c r="G5" s="37"/>
      <c r="H5" s="38" t="s">
        <v>48</v>
      </c>
      <c r="I5" s="39">
        <v>1</v>
      </c>
      <c r="J5" s="39"/>
      <c r="M5" s="42" t="s">
        <v>36</v>
      </c>
      <c r="N5" s="42">
        <v>5</v>
      </c>
      <c r="P5" s="43">
        <f t="shared" si="0"/>
        <v>-4</v>
      </c>
      <c r="Q5" s="40">
        <f t="shared" si="1"/>
        <v>4</v>
      </c>
      <c r="R5" s="44">
        <v>3</v>
      </c>
      <c r="S5" s="40" t="s">
        <v>25</v>
      </c>
      <c r="T5" s="40">
        <f>COUNTIF($Q$3:$Q$44,R5)</f>
        <v>1</v>
      </c>
      <c r="U5" s="45">
        <f>IF($T$2&gt;0, T5/$T$2, 0)</f>
        <v>9.0909090909090912E-2</v>
      </c>
    </row>
    <row r="6" spans="1:21" s="40" customFormat="1" ht="16.5" thickTop="1" thickBot="1" x14ac:dyDescent="0.3">
      <c r="A6" s="34">
        <v>5</v>
      </c>
      <c r="B6" s="35">
        <v>45947</v>
      </c>
      <c r="C6" s="36" t="s">
        <v>41</v>
      </c>
      <c r="D6" s="62">
        <v>4</v>
      </c>
      <c r="E6" s="36" t="s">
        <v>43</v>
      </c>
      <c r="F6" s="62">
        <v>7</v>
      </c>
      <c r="G6" s="37"/>
      <c r="H6" s="38" t="s">
        <v>49</v>
      </c>
      <c r="I6" s="39">
        <v>7</v>
      </c>
      <c r="J6" s="39"/>
      <c r="M6" s="42" t="s">
        <v>35</v>
      </c>
      <c r="N6" s="42">
        <v>6</v>
      </c>
      <c r="P6" s="43">
        <f t="shared" si="0"/>
        <v>-3</v>
      </c>
      <c r="Q6" s="40">
        <f t="shared" si="1"/>
        <v>3</v>
      </c>
      <c r="R6" s="44">
        <v>4</v>
      </c>
      <c r="S6" s="40" t="s">
        <v>25</v>
      </c>
      <c r="T6" s="40">
        <f>COUNTIF($Q$3:$Q$44,R6)</f>
        <v>4</v>
      </c>
      <c r="U6" s="45">
        <f>IF($T$2&gt;0, T6/$T$2, 0)</f>
        <v>0.36363636363636365</v>
      </c>
    </row>
    <row r="7" spans="1:21" s="40" customFormat="1" ht="16.5" thickTop="1" thickBot="1" x14ac:dyDescent="0.3">
      <c r="A7" s="34">
        <v>6</v>
      </c>
      <c r="B7" s="35">
        <v>45948</v>
      </c>
      <c r="C7" s="36" t="s">
        <v>41</v>
      </c>
      <c r="D7" s="62">
        <v>8</v>
      </c>
      <c r="E7" s="36" t="s">
        <v>44</v>
      </c>
      <c r="F7" s="62">
        <v>4</v>
      </c>
      <c r="G7" s="37"/>
      <c r="H7" s="38" t="s">
        <v>50</v>
      </c>
      <c r="I7" s="39">
        <v>1</v>
      </c>
      <c r="J7" s="39"/>
      <c r="M7" s="42" t="s">
        <v>38</v>
      </c>
      <c r="N7" s="42">
        <v>7</v>
      </c>
      <c r="P7" s="43">
        <f t="shared" si="0"/>
        <v>4</v>
      </c>
      <c r="Q7" s="40">
        <f t="shared" si="1"/>
        <v>4</v>
      </c>
      <c r="R7" s="46" t="s">
        <v>24</v>
      </c>
      <c r="S7" s="47" t="s">
        <v>25</v>
      </c>
      <c r="T7" s="47">
        <f>COUNTIF($Q$3:$Q$44,"&gt;=5")</f>
        <v>3</v>
      </c>
      <c r="U7" s="48">
        <f>IF($T$2&gt;0, T7/$T$2, 0)</f>
        <v>0.27272727272727271</v>
      </c>
    </row>
    <row r="8" spans="1:21" s="40" customFormat="1" ht="16.5" thickTop="1" thickBot="1" x14ac:dyDescent="0.3">
      <c r="A8" s="34">
        <v>28</v>
      </c>
      <c r="B8" s="35">
        <v>45948</v>
      </c>
      <c r="C8" s="36" t="s">
        <v>42</v>
      </c>
      <c r="D8" s="62">
        <v>4</v>
      </c>
      <c r="E8" s="36" t="s">
        <v>40</v>
      </c>
      <c r="F8" s="62">
        <v>2</v>
      </c>
      <c r="G8" s="37"/>
      <c r="H8" s="38" t="s">
        <v>51</v>
      </c>
      <c r="I8" s="39">
        <v>5</v>
      </c>
      <c r="J8" s="39"/>
      <c r="M8" s="42"/>
      <c r="N8" s="42"/>
      <c r="P8" s="43">
        <f t="shared" si="0"/>
        <v>2</v>
      </c>
      <c r="Q8" s="49">
        <f t="shared" si="1"/>
        <v>2</v>
      </c>
      <c r="U8" s="50">
        <f>SUM(U3:U7)</f>
        <v>1</v>
      </c>
    </row>
    <row r="9" spans="1:21" s="40" customFormat="1" ht="16.5" thickTop="1" thickBot="1" x14ac:dyDescent="0.3">
      <c r="A9" s="34">
        <v>7</v>
      </c>
      <c r="B9" s="35">
        <v>45949</v>
      </c>
      <c r="C9" s="36" t="s">
        <v>44</v>
      </c>
      <c r="D9" s="62">
        <v>4</v>
      </c>
      <c r="E9" s="36" t="s">
        <v>42</v>
      </c>
      <c r="F9" s="62">
        <v>5</v>
      </c>
      <c r="G9" s="37"/>
      <c r="H9" s="38" t="s">
        <v>47</v>
      </c>
      <c r="I9" s="39">
        <v>2</v>
      </c>
      <c r="J9" s="39"/>
      <c r="M9" s="42"/>
      <c r="N9" s="42"/>
      <c r="P9" s="43">
        <f t="shared" si="0"/>
        <v>-1</v>
      </c>
      <c r="Q9" s="49">
        <f t="shared" si="1"/>
        <v>1</v>
      </c>
      <c r="U9" s="50"/>
    </row>
    <row r="10" spans="1:21" s="40" customFormat="1" ht="16.5" thickTop="1" thickBot="1" x14ac:dyDescent="0.3">
      <c r="A10" s="34">
        <v>8</v>
      </c>
      <c r="B10" s="35">
        <v>45956</v>
      </c>
      <c r="C10" s="36" t="s">
        <v>42</v>
      </c>
      <c r="D10" s="62">
        <v>2</v>
      </c>
      <c r="E10" s="36" t="s">
        <v>34</v>
      </c>
      <c r="F10" s="62">
        <v>6</v>
      </c>
      <c r="G10" s="37"/>
      <c r="H10" s="38" t="s">
        <v>52</v>
      </c>
      <c r="I10" s="39">
        <v>4</v>
      </c>
      <c r="J10" s="39"/>
      <c r="M10" s="42"/>
      <c r="N10" s="42"/>
      <c r="P10" s="43">
        <f t="shared" si="0"/>
        <v>-4</v>
      </c>
      <c r="Q10" s="49">
        <f t="shared" si="1"/>
        <v>4</v>
      </c>
      <c r="U10" s="50"/>
    </row>
    <row r="11" spans="1:21" s="40" customFormat="1" ht="16.5" thickTop="1" thickBot="1" x14ac:dyDescent="0.3">
      <c r="A11" s="34">
        <v>9</v>
      </c>
      <c r="B11" s="35">
        <v>45962</v>
      </c>
      <c r="C11" s="36" t="s">
        <v>41</v>
      </c>
      <c r="D11" s="62">
        <v>9</v>
      </c>
      <c r="E11" s="36" t="s">
        <v>42</v>
      </c>
      <c r="F11" s="62">
        <v>3</v>
      </c>
      <c r="G11" s="37"/>
      <c r="H11" s="38" t="s">
        <v>50</v>
      </c>
      <c r="I11" s="39">
        <v>2</v>
      </c>
      <c r="J11" s="39"/>
      <c r="N11" s="42">
        <v>7</v>
      </c>
      <c r="P11" s="43">
        <f t="shared" si="0"/>
        <v>6</v>
      </c>
      <c r="Q11" s="49">
        <f t="shared" si="1"/>
        <v>6</v>
      </c>
      <c r="U11" s="51"/>
    </row>
    <row r="12" spans="1:21" s="40" customFormat="1" ht="15.75" thickTop="1" x14ac:dyDescent="0.25">
      <c r="A12" s="34">
        <v>10</v>
      </c>
      <c r="B12" s="35">
        <v>45962</v>
      </c>
      <c r="C12" s="36" t="s">
        <v>34</v>
      </c>
      <c r="D12" s="62">
        <v>7</v>
      </c>
      <c r="E12" s="36" t="s">
        <v>43</v>
      </c>
      <c r="F12" s="62">
        <v>2</v>
      </c>
      <c r="G12" s="37"/>
      <c r="H12" s="38" t="s">
        <v>46</v>
      </c>
      <c r="I12" s="39">
        <v>7</v>
      </c>
      <c r="J12" s="39"/>
      <c r="P12" s="43">
        <f t="shared" ref="P12:P18" si="2">D12-F12</f>
        <v>5</v>
      </c>
      <c r="Q12" s="49">
        <f t="shared" ref="Q12:Q18" si="3">ABS(P12)</f>
        <v>5</v>
      </c>
    </row>
    <row r="13" spans="1:21" s="40" customFormat="1" x14ac:dyDescent="0.25">
      <c r="A13" s="34">
        <v>11</v>
      </c>
      <c r="B13" s="35">
        <v>45963</v>
      </c>
      <c r="C13" s="36" t="s">
        <v>43</v>
      </c>
      <c r="D13" s="62">
        <v>5</v>
      </c>
      <c r="E13" s="36" t="s">
        <v>34</v>
      </c>
      <c r="F13" s="62">
        <v>4</v>
      </c>
      <c r="G13" s="37" t="s">
        <v>53</v>
      </c>
      <c r="H13" s="38" t="s">
        <v>54</v>
      </c>
      <c r="I13" s="39">
        <v>4</v>
      </c>
      <c r="J13" s="39"/>
      <c r="P13" s="43">
        <f t="shared" si="2"/>
        <v>1</v>
      </c>
      <c r="Q13" s="49">
        <f t="shared" si="3"/>
        <v>1</v>
      </c>
    </row>
    <row r="14" spans="1:21" s="40" customFormat="1" x14ac:dyDescent="0.25">
      <c r="A14" s="34">
        <v>12</v>
      </c>
      <c r="B14" s="35">
        <v>45968</v>
      </c>
      <c r="C14" s="36" t="s">
        <v>44</v>
      </c>
      <c r="D14" s="62"/>
      <c r="E14" s="36" t="s">
        <v>41</v>
      </c>
      <c r="F14" s="62"/>
      <c r="G14" s="37"/>
      <c r="H14" s="38"/>
      <c r="I14" s="39"/>
      <c r="J14" s="39"/>
      <c r="P14" s="43">
        <f t="shared" si="2"/>
        <v>0</v>
      </c>
      <c r="Q14" s="49">
        <f t="shared" si="3"/>
        <v>0</v>
      </c>
    </row>
    <row r="15" spans="1:21" s="40" customFormat="1" x14ac:dyDescent="0.25">
      <c r="A15" s="34">
        <v>13</v>
      </c>
      <c r="B15" s="35">
        <v>45970</v>
      </c>
      <c r="C15" s="36" t="s">
        <v>39</v>
      </c>
      <c r="D15" s="62"/>
      <c r="E15" s="36" t="s">
        <v>34</v>
      </c>
      <c r="F15" s="62"/>
      <c r="G15" s="37"/>
      <c r="H15" s="38"/>
      <c r="I15" s="39"/>
      <c r="J15" s="39"/>
      <c r="P15" s="43">
        <f t="shared" si="2"/>
        <v>0</v>
      </c>
      <c r="Q15" s="49">
        <f t="shared" si="3"/>
        <v>0</v>
      </c>
    </row>
    <row r="16" spans="1:21" s="40" customFormat="1" x14ac:dyDescent="0.25">
      <c r="A16" s="34">
        <v>14</v>
      </c>
      <c r="B16" s="35">
        <v>45975</v>
      </c>
      <c r="C16" s="36" t="s">
        <v>42</v>
      </c>
      <c r="D16" s="62"/>
      <c r="E16" s="36" t="s">
        <v>43</v>
      </c>
      <c r="F16" s="62"/>
      <c r="G16" s="37"/>
      <c r="H16" s="38"/>
      <c r="I16" s="39"/>
      <c r="J16" s="39"/>
      <c r="P16" s="43">
        <f t="shared" si="2"/>
        <v>0</v>
      </c>
      <c r="Q16" s="49">
        <f t="shared" si="3"/>
        <v>0</v>
      </c>
    </row>
    <row r="17" spans="1:17" s="40" customFormat="1" x14ac:dyDescent="0.25">
      <c r="A17" s="34">
        <v>15</v>
      </c>
      <c r="B17" s="35">
        <v>45982</v>
      </c>
      <c r="C17" s="36" t="s">
        <v>42</v>
      </c>
      <c r="D17" s="62"/>
      <c r="E17" s="36" t="s">
        <v>44</v>
      </c>
      <c r="F17" s="62"/>
      <c r="G17" s="37"/>
      <c r="H17" s="38"/>
      <c r="I17" s="39"/>
      <c r="J17" s="39"/>
      <c r="P17" s="43">
        <f t="shared" si="2"/>
        <v>0</v>
      </c>
      <c r="Q17" s="49">
        <f t="shared" si="3"/>
        <v>0</v>
      </c>
    </row>
    <row r="18" spans="1:17" s="40" customFormat="1" x14ac:dyDescent="0.25">
      <c r="A18" s="34">
        <v>16</v>
      </c>
      <c r="B18" s="35">
        <v>45983</v>
      </c>
      <c r="C18" s="36" t="s">
        <v>39</v>
      </c>
      <c r="D18" s="62"/>
      <c r="E18" s="36" t="s">
        <v>44</v>
      </c>
      <c r="F18" s="62"/>
      <c r="G18" s="37"/>
      <c r="H18" s="38"/>
      <c r="I18" s="39"/>
      <c r="J18" s="39"/>
      <c r="P18" s="43">
        <f t="shared" si="2"/>
        <v>0</v>
      </c>
      <c r="Q18" s="49">
        <f t="shared" si="3"/>
        <v>0</v>
      </c>
    </row>
    <row r="19" spans="1:17" s="40" customFormat="1" x14ac:dyDescent="0.25">
      <c r="A19" s="34">
        <v>4</v>
      </c>
      <c r="B19" s="35">
        <v>45997</v>
      </c>
      <c r="C19" s="36" t="s">
        <v>40</v>
      </c>
      <c r="D19" s="62"/>
      <c r="E19" s="36" t="s">
        <v>42</v>
      </c>
      <c r="F19" s="62"/>
      <c r="G19" s="37"/>
      <c r="H19" s="38"/>
      <c r="I19" s="39"/>
      <c r="J19" s="39"/>
      <c r="P19" s="43">
        <f t="shared" ref="P19:P31" si="4">D19-F19</f>
        <v>0</v>
      </c>
      <c r="Q19" s="49">
        <f t="shared" ref="Q19:Q31" si="5">ABS(P19)</f>
        <v>0</v>
      </c>
    </row>
    <row r="20" spans="1:17" s="40" customFormat="1" x14ac:dyDescent="0.25">
      <c r="A20" s="34">
        <v>17</v>
      </c>
      <c r="B20" s="35">
        <v>45997</v>
      </c>
      <c r="C20" s="36" t="s">
        <v>39</v>
      </c>
      <c r="D20" s="62"/>
      <c r="E20" s="36" t="s">
        <v>41</v>
      </c>
      <c r="F20" s="62"/>
      <c r="G20" s="37"/>
      <c r="H20" s="38"/>
      <c r="I20" s="39"/>
      <c r="J20" s="39"/>
      <c r="P20" s="43">
        <f t="shared" si="4"/>
        <v>0</v>
      </c>
      <c r="Q20" s="49">
        <f t="shared" si="5"/>
        <v>0</v>
      </c>
    </row>
    <row r="21" spans="1:17" s="40" customFormat="1" x14ac:dyDescent="0.25">
      <c r="A21" s="34">
        <v>18</v>
      </c>
      <c r="B21" s="35">
        <v>45998</v>
      </c>
      <c r="C21" s="36" t="s">
        <v>34</v>
      </c>
      <c r="D21" s="62"/>
      <c r="E21" s="36" t="s">
        <v>41</v>
      </c>
      <c r="F21" s="62"/>
      <c r="G21" s="37"/>
      <c r="H21" s="38"/>
      <c r="I21" s="39"/>
      <c r="J21" s="39"/>
      <c r="P21" s="43">
        <f t="shared" si="4"/>
        <v>0</v>
      </c>
      <c r="Q21" s="49">
        <f t="shared" si="5"/>
        <v>0</v>
      </c>
    </row>
    <row r="22" spans="1:17" s="40" customFormat="1" x14ac:dyDescent="0.25">
      <c r="A22" s="34">
        <v>19</v>
      </c>
      <c r="B22" s="35">
        <v>46047</v>
      </c>
      <c r="C22" s="36" t="s">
        <v>44</v>
      </c>
      <c r="D22" s="62"/>
      <c r="E22" s="36" t="s">
        <v>34</v>
      </c>
      <c r="F22" s="62"/>
      <c r="G22" s="37"/>
      <c r="H22" s="38"/>
      <c r="I22" s="39"/>
      <c r="J22" s="39"/>
      <c r="P22" s="43">
        <f t="shared" si="4"/>
        <v>0</v>
      </c>
      <c r="Q22" s="49">
        <f t="shared" si="5"/>
        <v>0</v>
      </c>
    </row>
    <row r="23" spans="1:17" s="40" customFormat="1" x14ac:dyDescent="0.25">
      <c r="A23" s="34">
        <v>20</v>
      </c>
      <c r="B23" s="35">
        <v>46053</v>
      </c>
      <c r="C23" s="36" t="s">
        <v>42</v>
      </c>
      <c r="D23" s="62"/>
      <c r="E23" s="36" t="s">
        <v>41</v>
      </c>
      <c r="F23" s="62"/>
      <c r="G23" s="37"/>
      <c r="H23" s="38"/>
      <c r="I23" s="39"/>
      <c r="J23" s="39"/>
      <c r="N23" s="40">
        <f>LOOKUP(C24,M1:M5,N1:N5)</f>
        <v>5</v>
      </c>
      <c r="P23" s="43">
        <f t="shared" si="4"/>
        <v>0</v>
      </c>
      <c r="Q23" s="49">
        <f t="shared" si="5"/>
        <v>0</v>
      </c>
    </row>
    <row r="24" spans="1:17" s="40" customFormat="1" x14ac:dyDescent="0.25">
      <c r="A24" s="34">
        <v>21</v>
      </c>
      <c r="B24" s="35">
        <v>46053</v>
      </c>
      <c r="C24" s="36" t="s">
        <v>39</v>
      </c>
      <c r="D24" s="62"/>
      <c r="E24" s="36" t="s">
        <v>43</v>
      </c>
      <c r="F24" s="62"/>
      <c r="G24" s="37"/>
      <c r="H24" s="38"/>
      <c r="I24" s="39"/>
      <c r="J24" s="39"/>
      <c r="O24" s="40">
        <f>LOOKUP(E24,M1:M5,N1:N5)</f>
        <v>5</v>
      </c>
      <c r="P24" s="43">
        <f t="shared" si="4"/>
        <v>0</v>
      </c>
      <c r="Q24" s="49">
        <f t="shared" si="5"/>
        <v>0</v>
      </c>
    </row>
    <row r="25" spans="1:17" s="40" customFormat="1" x14ac:dyDescent="0.25">
      <c r="A25" s="34">
        <v>22</v>
      </c>
      <c r="B25" s="35">
        <v>46054</v>
      </c>
      <c r="C25" s="36" t="s">
        <v>42</v>
      </c>
      <c r="D25" s="62"/>
      <c r="E25" s="36" t="s">
        <v>39</v>
      </c>
      <c r="F25" s="62"/>
      <c r="G25" s="37"/>
      <c r="H25" s="38"/>
      <c r="I25" s="39"/>
      <c r="J25" s="39"/>
      <c r="P25" s="43">
        <f t="shared" si="4"/>
        <v>0</v>
      </c>
      <c r="Q25" s="49">
        <f t="shared" si="5"/>
        <v>0</v>
      </c>
    </row>
    <row r="26" spans="1:17" s="40" customFormat="1" x14ac:dyDescent="0.25">
      <c r="A26" s="34">
        <v>23</v>
      </c>
      <c r="B26" s="35">
        <v>46054</v>
      </c>
      <c r="C26" s="36" t="s">
        <v>43</v>
      </c>
      <c r="D26" s="62"/>
      <c r="E26" s="36" t="s">
        <v>41</v>
      </c>
      <c r="F26" s="62"/>
      <c r="G26" s="37"/>
      <c r="H26" s="38"/>
      <c r="I26" s="39"/>
      <c r="J26" s="39"/>
      <c r="P26" s="43">
        <f t="shared" si="4"/>
        <v>0</v>
      </c>
      <c r="Q26" s="49">
        <f t="shared" si="5"/>
        <v>0</v>
      </c>
    </row>
    <row r="27" spans="1:17" s="40" customFormat="1" x14ac:dyDescent="0.25">
      <c r="A27" s="34">
        <v>24</v>
      </c>
      <c r="B27" s="35">
        <v>46060</v>
      </c>
      <c r="C27" s="36" t="s">
        <v>44</v>
      </c>
      <c r="D27" s="62"/>
      <c r="E27" s="36" t="s">
        <v>39</v>
      </c>
      <c r="F27" s="62"/>
      <c r="G27" s="37"/>
      <c r="H27" s="38"/>
      <c r="I27" s="39"/>
      <c r="J27" s="39"/>
      <c r="P27" s="43">
        <f t="shared" si="4"/>
        <v>0</v>
      </c>
      <c r="Q27" s="49">
        <f t="shared" si="5"/>
        <v>0</v>
      </c>
    </row>
    <row r="28" spans="1:17" s="40" customFormat="1" x14ac:dyDescent="0.25">
      <c r="A28" s="34">
        <v>25</v>
      </c>
      <c r="B28" s="35">
        <v>46060</v>
      </c>
      <c r="C28" s="36" t="s">
        <v>43</v>
      </c>
      <c r="D28" s="62"/>
      <c r="E28" s="36" t="s">
        <v>42</v>
      </c>
      <c r="F28" s="62"/>
      <c r="G28" s="37"/>
      <c r="H28" s="38"/>
      <c r="I28" s="39"/>
      <c r="J28" s="39"/>
      <c r="P28" s="43">
        <f t="shared" si="4"/>
        <v>0</v>
      </c>
      <c r="Q28" s="49">
        <f t="shared" si="5"/>
        <v>0</v>
      </c>
    </row>
    <row r="29" spans="1:17" s="40" customFormat="1" x14ac:dyDescent="0.25">
      <c r="A29" s="34">
        <v>26</v>
      </c>
      <c r="B29" s="35">
        <v>46066</v>
      </c>
      <c r="C29" s="36" t="s">
        <v>44</v>
      </c>
      <c r="D29" s="62"/>
      <c r="E29" s="36" t="s">
        <v>43</v>
      </c>
      <c r="F29" s="62"/>
      <c r="G29" s="37"/>
      <c r="H29" s="38"/>
      <c r="I29" s="39"/>
      <c r="J29" s="39"/>
      <c r="P29" s="43">
        <f t="shared" si="4"/>
        <v>0</v>
      </c>
      <c r="Q29" s="49">
        <f t="shared" si="5"/>
        <v>0</v>
      </c>
    </row>
    <row r="30" spans="1:17" s="40" customFormat="1" x14ac:dyDescent="0.25">
      <c r="A30" s="34">
        <v>27</v>
      </c>
      <c r="B30" s="35">
        <v>46068</v>
      </c>
      <c r="C30" s="36" t="s">
        <v>43</v>
      </c>
      <c r="D30" s="62"/>
      <c r="E30" s="36" t="s">
        <v>44</v>
      </c>
      <c r="F30" s="62"/>
      <c r="G30" s="37"/>
      <c r="H30" s="38"/>
      <c r="I30" s="39"/>
      <c r="J30" s="39"/>
      <c r="P30" s="43">
        <f t="shared" si="4"/>
        <v>0</v>
      </c>
      <c r="Q30" s="49">
        <f t="shared" si="5"/>
        <v>0</v>
      </c>
    </row>
    <row r="31" spans="1:17" s="40" customFormat="1" x14ac:dyDescent="0.25">
      <c r="A31" s="34"/>
      <c r="B31" s="35"/>
      <c r="C31" s="36"/>
      <c r="D31" s="62"/>
      <c r="E31" s="36"/>
      <c r="F31" s="62"/>
      <c r="G31" s="37"/>
      <c r="H31" s="38"/>
      <c r="I31" s="39"/>
      <c r="J31" s="39"/>
      <c r="P31" s="43">
        <f t="shared" si="4"/>
        <v>0</v>
      </c>
      <c r="Q31" s="49">
        <f t="shared" si="5"/>
        <v>0</v>
      </c>
    </row>
    <row r="32" spans="1:17" s="40" customFormat="1" x14ac:dyDescent="0.25">
      <c r="A32" s="34"/>
      <c r="B32" s="35"/>
      <c r="C32" s="36"/>
      <c r="D32" s="62"/>
      <c r="E32" s="36"/>
      <c r="F32" s="62"/>
      <c r="G32" s="37"/>
      <c r="H32" s="38"/>
      <c r="I32" s="39"/>
      <c r="J32" s="39"/>
      <c r="P32" s="43">
        <f t="shared" ref="P32:P42" si="6">D32-F32</f>
        <v>0</v>
      </c>
      <c r="Q32" s="49">
        <f t="shared" ref="Q32:Q42" si="7">ABS(P32)</f>
        <v>0</v>
      </c>
    </row>
    <row r="33" spans="1:17" s="40" customFormat="1" x14ac:dyDescent="0.25">
      <c r="A33" s="34"/>
      <c r="B33" s="35"/>
      <c r="C33" s="36"/>
      <c r="D33" s="62"/>
      <c r="E33" s="36"/>
      <c r="F33" s="62"/>
      <c r="G33" s="37"/>
      <c r="H33" s="38"/>
      <c r="I33" s="39"/>
      <c r="J33" s="39"/>
      <c r="P33" s="43">
        <f t="shared" si="6"/>
        <v>0</v>
      </c>
      <c r="Q33" s="49">
        <f t="shared" si="7"/>
        <v>0</v>
      </c>
    </row>
    <row r="34" spans="1:17" s="40" customFormat="1" x14ac:dyDescent="0.25">
      <c r="A34" s="34"/>
      <c r="B34" s="35"/>
      <c r="C34" s="36"/>
      <c r="D34" s="62"/>
      <c r="E34" s="36"/>
      <c r="F34" s="62"/>
      <c r="G34" s="37"/>
      <c r="H34" s="38"/>
      <c r="I34" s="39"/>
      <c r="J34" s="39"/>
      <c r="P34" s="43">
        <f t="shared" si="6"/>
        <v>0</v>
      </c>
      <c r="Q34" s="49">
        <f t="shared" si="7"/>
        <v>0</v>
      </c>
    </row>
    <row r="35" spans="1:17" s="40" customFormat="1" x14ac:dyDescent="0.25">
      <c r="A35" s="34"/>
      <c r="B35" s="35"/>
      <c r="C35" s="36"/>
      <c r="D35" s="62"/>
      <c r="E35" s="36"/>
      <c r="F35" s="62"/>
      <c r="G35" s="37"/>
      <c r="H35" s="38"/>
      <c r="I35" s="39"/>
      <c r="J35" s="39"/>
      <c r="P35" s="43">
        <f t="shared" si="6"/>
        <v>0</v>
      </c>
      <c r="Q35" s="49">
        <f t="shared" si="7"/>
        <v>0</v>
      </c>
    </row>
    <row r="36" spans="1:17" s="40" customFormat="1" x14ac:dyDescent="0.25">
      <c r="A36" s="34"/>
      <c r="B36" s="35"/>
      <c r="C36" s="36"/>
      <c r="D36" s="62"/>
      <c r="E36" s="36"/>
      <c r="F36" s="62"/>
      <c r="G36" s="37"/>
      <c r="H36" s="38"/>
      <c r="I36" s="39"/>
      <c r="J36" s="39"/>
      <c r="P36" s="43">
        <f t="shared" si="6"/>
        <v>0</v>
      </c>
      <c r="Q36" s="49">
        <f t="shared" si="7"/>
        <v>0</v>
      </c>
    </row>
    <row r="37" spans="1:17" s="40" customFormat="1" x14ac:dyDescent="0.25">
      <c r="A37" s="34"/>
      <c r="B37" s="35"/>
      <c r="C37" s="36"/>
      <c r="D37" s="62"/>
      <c r="E37" s="36"/>
      <c r="F37" s="62"/>
      <c r="G37" s="37"/>
      <c r="H37" s="38"/>
      <c r="I37" s="39"/>
      <c r="J37" s="39"/>
      <c r="P37" s="43">
        <f t="shared" si="6"/>
        <v>0</v>
      </c>
      <c r="Q37" s="49">
        <f t="shared" si="7"/>
        <v>0</v>
      </c>
    </row>
    <row r="38" spans="1:17" s="40" customFormat="1" x14ac:dyDescent="0.25">
      <c r="A38" s="34"/>
      <c r="B38" s="35"/>
      <c r="C38" s="36"/>
      <c r="D38" s="62"/>
      <c r="E38" s="36"/>
      <c r="F38" s="62"/>
      <c r="G38" s="37"/>
      <c r="H38" s="38"/>
      <c r="I38" s="39"/>
      <c r="J38" s="39"/>
      <c r="P38" s="43">
        <f t="shared" si="6"/>
        <v>0</v>
      </c>
      <c r="Q38" s="49">
        <f t="shared" si="7"/>
        <v>0</v>
      </c>
    </row>
    <row r="39" spans="1:17" s="40" customFormat="1" x14ac:dyDescent="0.25">
      <c r="A39" s="34"/>
      <c r="B39" s="35"/>
      <c r="C39" s="36"/>
      <c r="D39" s="62"/>
      <c r="E39" s="36"/>
      <c r="F39" s="62"/>
      <c r="G39" s="37"/>
      <c r="H39" s="38"/>
      <c r="I39" s="39"/>
      <c r="J39" s="39"/>
      <c r="P39" s="43">
        <f t="shared" si="6"/>
        <v>0</v>
      </c>
      <c r="Q39" s="49">
        <f t="shared" si="7"/>
        <v>0</v>
      </c>
    </row>
    <row r="40" spans="1:17" s="40" customFormat="1" x14ac:dyDescent="0.25">
      <c r="A40" s="34"/>
      <c r="B40" s="35"/>
      <c r="C40" s="36"/>
      <c r="D40" s="62"/>
      <c r="E40" s="36"/>
      <c r="F40" s="62"/>
      <c r="G40" s="37"/>
      <c r="H40" s="38"/>
      <c r="I40" s="39"/>
      <c r="J40" s="39"/>
      <c r="P40" s="43">
        <f t="shared" si="6"/>
        <v>0</v>
      </c>
      <c r="Q40" s="49">
        <f t="shared" si="7"/>
        <v>0</v>
      </c>
    </row>
    <row r="41" spans="1:17" s="40" customFormat="1" x14ac:dyDescent="0.25">
      <c r="A41" s="34"/>
      <c r="B41" s="35"/>
      <c r="C41" s="36"/>
      <c r="D41" s="62"/>
      <c r="E41" s="36"/>
      <c r="F41" s="62"/>
      <c r="G41" s="37"/>
      <c r="H41" s="38"/>
      <c r="I41" s="39"/>
      <c r="J41" s="39"/>
      <c r="P41" s="43">
        <f t="shared" si="6"/>
        <v>0</v>
      </c>
      <c r="Q41" s="49">
        <f t="shared" si="7"/>
        <v>0</v>
      </c>
    </row>
    <row r="42" spans="1:17" s="40" customFormat="1" x14ac:dyDescent="0.25">
      <c r="A42" s="34"/>
      <c r="B42" s="35"/>
      <c r="C42" s="36"/>
      <c r="D42" s="62"/>
      <c r="E42" s="36"/>
      <c r="F42" s="62"/>
      <c r="G42" s="37"/>
      <c r="H42" s="38"/>
      <c r="I42" s="39"/>
      <c r="J42" s="39"/>
      <c r="P42" s="43">
        <f t="shared" si="6"/>
        <v>0</v>
      </c>
      <c r="Q42" s="49">
        <f t="shared" si="7"/>
        <v>0</v>
      </c>
    </row>
    <row r="43" spans="1:17" s="40" customFormat="1" x14ac:dyDescent="0.25">
      <c r="A43" s="34"/>
      <c r="B43" s="35"/>
      <c r="C43" s="36"/>
      <c r="D43" s="62"/>
      <c r="E43" s="36"/>
      <c r="F43" s="62"/>
      <c r="G43" s="37"/>
      <c r="H43" s="38"/>
      <c r="I43" s="39"/>
      <c r="J43" s="39"/>
      <c r="P43" s="43">
        <f t="shared" ref="P43:P44" si="8">D43-F43</f>
        <v>0</v>
      </c>
      <c r="Q43" s="49">
        <f t="shared" ref="Q43:Q44" si="9">ABS(P43)</f>
        <v>0</v>
      </c>
    </row>
    <row r="44" spans="1:17" s="40" customFormat="1" x14ac:dyDescent="0.25">
      <c r="A44" s="34"/>
      <c r="B44" s="35"/>
      <c r="C44" s="36"/>
      <c r="D44" s="62"/>
      <c r="E44" s="36"/>
      <c r="F44" s="62"/>
      <c r="G44" s="37"/>
      <c r="H44" s="38"/>
      <c r="I44" s="39"/>
      <c r="J44" s="39"/>
      <c r="P44" s="43">
        <f t="shared" si="8"/>
        <v>0</v>
      </c>
      <c r="Q44" s="49">
        <f t="shared" si="9"/>
        <v>0</v>
      </c>
    </row>
    <row r="45" spans="1:17" s="40" customFormat="1" ht="15.75" thickBot="1" x14ac:dyDescent="0.3">
      <c r="A45" s="106"/>
      <c r="B45" s="106"/>
      <c r="C45" s="106"/>
      <c r="D45" s="106"/>
      <c r="E45" s="106"/>
      <c r="F45" s="106"/>
      <c r="G45" s="106"/>
      <c r="H45" s="38"/>
      <c r="I45" s="39"/>
      <c r="J45" s="39"/>
    </row>
    <row r="46" spans="1:17" s="40" customFormat="1" x14ac:dyDescent="0.25">
      <c r="A46" s="103" t="s">
        <v>45</v>
      </c>
      <c r="B46" s="104"/>
      <c r="C46" s="104"/>
      <c r="D46" s="104"/>
      <c r="E46" s="104"/>
      <c r="F46" s="104"/>
      <c r="G46" s="105"/>
      <c r="H46" s="38"/>
      <c r="I46" s="39"/>
      <c r="J46" s="39"/>
    </row>
    <row r="47" spans="1:17" s="40" customFormat="1" x14ac:dyDescent="0.25">
      <c r="A47" s="34" t="s">
        <v>55</v>
      </c>
      <c r="B47" s="35">
        <v>46071</v>
      </c>
      <c r="C47" s="36"/>
      <c r="D47" s="62"/>
      <c r="E47" s="36"/>
      <c r="F47" s="62"/>
      <c r="G47" s="37"/>
      <c r="H47" s="38"/>
      <c r="I47" s="39"/>
      <c r="J47" s="39"/>
    </row>
    <row r="48" spans="1:17" s="40" customFormat="1" x14ac:dyDescent="0.25">
      <c r="A48" s="34" t="s">
        <v>56</v>
      </c>
      <c r="B48" s="35">
        <v>46073</v>
      </c>
      <c r="C48" s="36"/>
      <c r="D48" s="62"/>
      <c r="E48" s="36"/>
      <c r="F48" s="62"/>
      <c r="G48" s="37"/>
      <c r="H48" s="38"/>
      <c r="I48" s="39"/>
      <c r="J48" s="39"/>
    </row>
    <row r="49" spans="1:10" s="40" customFormat="1" x14ac:dyDescent="0.25">
      <c r="A49" s="34" t="s">
        <v>57</v>
      </c>
      <c r="B49" s="35">
        <v>46073</v>
      </c>
      <c r="C49" s="36"/>
      <c r="D49" s="62"/>
      <c r="E49" s="36"/>
      <c r="F49" s="62"/>
      <c r="G49" s="37"/>
      <c r="H49" s="38"/>
      <c r="I49" s="39"/>
      <c r="J49" s="39"/>
    </row>
    <row r="50" spans="1:10" s="40" customFormat="1" x14ac:dyDescent="0.25">
      <c r="A50" s="34" t="s">
        <v>59</v>
      </c>
      <c r="B50" s="35">
        <v>46074</v>
      </c>
      <c r="C50" s="36"/>
      <c r="D50" s="62"/>
      <c r="E50" s="36"/>
      <c r="F50" s="62"/>
      <c r="G50" s="37"/>
      <c r="H50" s="38"/>
      <c r="I50" s="39"/>
      <c r="J50" s="39"/>
    </row>
    <row r="51" spans="1:10" s="40" customFormat="1" x14ac:dyDescent="0.25">
      <c r="A51" s="107" t="s">
        <v>58</v>
      </c>
      <c r="B51" s="108">
        <v>46074</v>
      </c>
      <c r="C51" s="109"/>
      <c r="D51" s="110"/>
      <c r="E51" s="109"/>
      <c r="F51" s="110"/>
      <c r="G51" s="111"/>
      <c r="H51" s="38"/>
      <c r="I51" s="39"/>
      <c r="J51" s="39"/>
    </row>
    <row r="52" spans="1:10" s="40" customFormat="1" ht="15.75" thickBot="1" x14ac:dyDescent="0.3">
      <c r="A52" s="52" t="s">
        <v>60</v>
      </c>
      <c r="B52" s="53">
        <v>46075</v>
      </c>
      <c r="C52" s="54"/>
      <c r="D52" s="63"/>
      <c r="E52" s="54"/>
      <c r="F52" s="63"/>
      <c r="G52" s="55"/>
      <c r="H52" s="38"/>
      <c r="I52" s="39"/>
      <c r="J52" s="39"/>
    </row>
    <row r="53" spans="1:10" x14ac:dyDescent="0.25">
      <c r="A53" s="29"/>
      <c r="B53" s="30"/>
      <c r="C53" s="29"/>
      <c r="D53" s="64"/>
      <c r="E53" s="29"/>
      <c r="F53" s="64"/>
      <c r="G53" s="31"/>
      <c r="H53" s="24"/>
      <c r="I53" s="13"/>
      <c r="J53" s="13"/>
    </row>
    <row r="54" spans="1:10" x14ac:dyDescent="0.25">
      <c r="A54" s="29"/>
      <c r="B54" s="30"/>
      <c r="C54" s="29"/>
      <c r="D54" s="64"/>
      <c r="E54" s="29"/>
      <c r="F54" s="64"/>
      <c r="G54" s="31"/>
      <c r="H54" s="24"/>
      <c r="I54" s="13"/>
      <c r="J54" s="13"/>
    </row>
    <row r="55" spans="1:10" x14ac:dyDescent="0.25">
      <c r="A55" s="29"/>
      <c r="B55" s="30"/>
      <c r="C55" s="29"/>
      <c r="D55" s="64"/>
      <c r="E55" s="29"/>
      <c r="F55" s="64"/>
      <c r="G55" s="31"/>
      <c r="H55" s="24"/>
      <c r="I55" s="13"/>
      <c r="J55" s="13"/>
    </row>
    <row r="56" spans="1:10" x14ac:dyDescent="0.25">
      <c r="A56" s="29"/>
      <c r="B56" s="30"/>
      <c r="C56" s="29"/>
      <c r="D56" s="64"/>
      <c r="E56" s="29"/>
      <c r="F56" s="64"/>
      <c r="G56" s="31"/>
      <c r="H56" s="24"/>
      <c r="I56" s="13"/>
      <c r="J56" s="13"/>
    </row>
    <row r="57" spans="1:10" x14ac:dyDescent="0.25">
      <c r="A57" s="29"/>
      <c r="B57" s="30"/>
      <c r="C57" s="29"/>
      <c r="D57" s="64"/>
      <c r="E57" s="29"/>
      <c r="F57" s="64"/>
      <c r="G57" s="31"/>
      <c r="H57" s="24"/>
      <c r="I57" s="13"/>
      <c r="J57" s="13"/>
    </row>
    <row r="58" spans="1:10" x14ac:dyDescent="0.25">
      <c r="A58" s="29"/>
      <c r="B58" s="30"/>
      <c r="C58" s="29"/>
      <c r="D58" s="64"/>
      <c r="E58" s="29"/>
      <c r="F58" s="64"/>
      <c r="G58" s="31"/>
      <c r="H58" s="24"/>
      <c r="I58" s="13"/>
      <c r="J58" s="13"/>
    </row>
    <row r="59" spans="1:10" x14ac:dyDescent="0.25">
      <c r="A59" s="29"/>
      <c r="B59" s="30"/>
      <c r="C59" s="29"/>
      <c r="D59" s="64"/>
      <c r="E59" s="29"/>
      <c r="F59" s="64"/>
      <c r="G59" s="31"/>
      <c r="H59" s="24"/>
      <c r="I59" s="13"/>
      <c r="J59" s="13"/>
    </row>
    <row r="60" spans="1:10" x14ac:dyDescent="0.25">
      <c r="A60" s="29"/>
      <c r="B60" s="30"/>
      <c r="C60" s="29"/>
      <c r="D60" s="64"/>
      <c r="E60" s="29"/>
      <c r="F60" s="64"/>
      <c r="G60" s="31"/>
      <c r="H60" s="24"/>
      <c r="I60" s="13"/>
      <c r="J60" s="13"/>
    </row>
    <row r="61" spans="1:10" x14ac:dyDescent="0.25">
      <c r="A61" s="29"/>
      <c r="B61" s="30"/>
      <c r="C61" s="29"/>
      <c r="D61" s="64"/>
      <c r="E61" s="29"/>
      <c r="F61" s="64"/>
      <c r="G61" s="31"/>
      <c r="H61" s="24"/>
      <c r="I61" s="13"/>
      <c r="J61" s="13"/>
    </row>
    <row r="62" spans="1:10" x14ac:dyDescent="0.25">
      <c r="A62" s="29"/>
      <c r="B62" s="30"/>
      <c r="C62" s="29"/>
      <c r="D62" s="64"/>
      <c r="E62" s="29"/>
      <c r="F62" s="64"/>
      <c r="G62" s="31"/>
      <c r="H62" s="24"/>
      <c r="I62" s="13"/>
      <c r="J62" s="13"/>
    </row>
    <row r="63" spans="1:10" x14ac:dyDescent="0.25">
      <c r="A63" s="25"/>
      <c r="B63" s="26"/>
      <c r="C63" s="27"/>
      <c r="D63" s="25"/>
      <c r="E63" s="27"/>
      <c r="F63" s="25"/>
      <c r="G63" s="28"/>
      <c r="H63" s="12"/>
      <c r="I63" s="13"/>
      <c r="J63" s="13"/>
    </row>
    <row r="64" spans="1:10" x14ac:dyDescent="0.25">
      <c r="A64" s="11"/>
      <c r="B64" s="14"/>
      <c r="C64" s="20"/>
      <c r="D64" s="11"/>
      <c r="E64" s="20"/>
      <c r="F64" s="11"/>
      <c r="G64" s="10"/>
      <c r="H64" s="12"/>
      <c r="I64" s="13"/>
      <c r="J64" s="13"/>
    </row>
    <row r="65" spans="1:10" x14ac:dyDescent="0.25">
      <c r="A65" s="11"/>
      <c r="B65" s="14"/>
      <c r="C65" s="20"/>
      <c r="D65" s="11"/>
      <c r="E65" s="20"/>
      <c r="F65" s="11"/>
      <c r="G65" s="10"/>
      <c r="H65" s="12"/>
      <c r="I65" s="13"/>
      <c r="J65" s="13"/>
    </row>
    <row r="66" spans="1:10" x14ac:dyDescent="0.25">
      <c r="A66" s="11"/>
      <c r="B66" s="14"/>
      <c r="C66" s="20"/>
      <c r="D66" s="11"/>
      <c r="E66" s="20"/>
      <c r="F66" s="11"/>
      <c r="G66" s="10"/>
      <c r="H66" s="12"/>
      <c r="I66" s="13"/>
      <c r="J66" s="13"/>
    </row>
    <row r="67" spans="1:10" x14ac:dyDescent="0.25">
      <c r="A67" s="11"/>
      <c r="B67" s="14"/>
      <c r="C67" s="20"/>
      <c r="D67" s="11"/>
      <c r="E67" s="20"/>
      <c r="F67" s="11"/>
      <c r="G67" s="10"/>
      <c r="H67" s="12"/>
      <c r="I67" s="13"/>
      <c r="J67" s="13"/>
    </row>
    <row r="68" spans="1:10" x14ac:dyDescent="0.25">
      <c r="A68" s="11"/>
      <c r="B68" s="14"/>
      <c r="C68" s="20"/>
      <c r="D68" s="11"/>
      <c r="E68" s="20"/>
      <c r="F68" s="11"/>
      <c r="G68" s="10"/>
      <c r="H68" s="12"/>
      <c r="I68" s="13"/>
      <c r="J68" s="13"/>
    </row>
    <row r="69" spans="1:10" x14ac:dyDescent="0.25">
      <c r="A69" s="11"/>
      <c r="B69" s="14"/>
      <c r="C69" s="20"/>
      <c r="D69" s="11"/>
      <c r="E69" s="20"/>
      <c r="F69" s="11"/>
      <c r="G69" s="10"/>
      <c r="H69" s="12"/>
      <c r="I69" s="13"/>
      <c r="J69" s="13"/>
    </row>
    <row r="70" spans="1:10" x14ac:dyDescent="0.25">
      <c r="A70" s="11"/>
      <c r="B70" s="14"/>
      <c r="C70" s="20"/>
      <c r="D70" s="11"/>
      <c r="E70" s="20"/>
      <c r="F70" s="11"/>
      <c r="G70" s="10"/>
      <c r="H70" s="12"/>
      <c r="I70" s="13"/>
      <c r="J70" s="13"/>
    </row>
    <row r="71" spans="1:10" x14ac:dyDescent="0.25">
      <c r="A71" s="11"/>
      <c r="B71" s="14"/>
      <c r="C71" s="20"/>
      <c r="D71" s="11"/>
      <c r="E71" s="20"/>
      <c r="F71" s="11"/>
      <c r="G71" s="10"/>
      <c r="H71" s="12"/>
      <c r="I71" s="13"/>
      <c r="J71" s="13"/>
    </row>
    <row r="72" spans="1:10" x14ac:dyDescent="0.25">
      <c r="A72" s="11"/>
      <c r="B72" s="14"/>
      <c r="C72" s="20"/>
      <c r="D72" s="11"/>
      <c r="E72" s="20"/>
      <c r="F72" s="11"/>
      <c r="G72" s="10"/>
      <c r="H72" s="12"/>
      <c r="I72" s="13"/>
      <c r="J72" s="13"/>
    </row>
    <row r="73" spans="1:10" x14ac:dyDescent="0.25">
      <c r="A73" s="11"/>
      <c r="B73" s="14"/>
      <c r="C73" s="20"/>
      <c r="D73" s="11"/>
      <c r="E73" s="20"/>
      <c r="F73" s="11"/>
      <c r="G73" s="10"/>
      <c r="H73" s="12"/>
      <c r="I73" s="13"/>
      <c r="J73" s="13"/>
    </row>
    <row r="74" spans="1:10" x14ac:dyDescent="0.25">
      <c r="A74" s="11"/>
      <c r="B74" s="14"/>
      <c r="C74" s="20"/>
      <c r="D74" s="11"/>
      <c r="E74" s="20"/>
      <c r="F74" s="11"/>
      <c r="G74" s="10"/>
      <c r="H74" s="12"/>
      <c r="I74" s="13"/>
      <c r="J74" s="13"/>
    </row>
    <row r="75" spans="1:10" x14ac:dyDescent="0.25">
      <c r="A75" s="11"/>
      <c r="B75" s="14"/>
      <c r="C75" s="20"/>
      <c r="D75" s="11"/>
      <c r="E75" s="20"/>
      <c r="F75" s="11"/>
      <c r="G75" s="10"/>
      <c r="H75" s="12"/>
      <c r="I75" s="13"/>
      <c r="J75" s="13"/>
    </row>
    <row r="76" spans="1:10" x14ac:dyDescent="0.25">
      <c r="A76" s="8"/>
      <c r="B76" s="15"/>
      <c r="C76" s="20"/>
      <c r="D76" s="11"/>
      <c r="E76" s="20"/>
      <c r="F76" s="11"/>
      <c r="G76" s="9"/>
      <c r="H76" s="12"/>
      <c r="I76" s="13"/>
      <c r="J76" s="13"/>
    </row>
    <row r="77" spans="1:10" x14ac:dyDescent="0.25">
      <c r="A77" s="8"/>
      <c r="B77" s="15"/>
      <c r="C77" s="21"/>
      <c r="D77" s="65"/>
      <c r="E77" s="21"/>
      <c r="F77" s="65"/>
      <c r="G77" s="9"/>
      <c r="H77" s="12"/>
      <c r="I77" s="13"/>
      <c r="J77" s="13"/>
    </row>
    <row r="78" spans="1:10" x14ac:dyDescent="0.25">
      <c r="A78" s="8"/>
      <c r="B78" s="15"/>
      <c r="C78" s="21"/>
      <c r="D78" s="65"/>
      <c r="E78" s="21"/>
      <c r="F78" s="65"/>
      <c r="G78" s="9"/>
      <c r="H78" s="12"/>
      <c r="I78" s="13"/>
      <c r="J78" s="13"/>
    </row>
    <row r="79" spans="1:10" x14ac:dyDescent="0.25">
      <c r="A79" s="8"/>
      <c r="B79" s="15"/>
      <c r="C79" s="21"/>
      <c r="D79" s="65"/>
      <c r="E79" s="21"/>
      <c r="F79" s="65"/>
      <c r="G79" s="9"/>
      <c r="H79" s="12"/>
      <c r="I79" s="13"/>
      <c r="J79" s="13"/>
    </row>
    <row r="80" spans="1:10" x14ac:dyDescent="0.25">
      <c r="A80" s="8"/>
      <c r="B80" s="15"/>
      <c r="C80" s="21"/>
      <c r="D80" s="65"/>
      <c r="E80" s="21"/>
      <c r="F80" s="65"/>
      <c r="G80" s="9"/>
      <c r="H80" s="12"/>
      <c r="I80" s="13"/>
      <c r="J80" s="13"/>
    </row>
    <row r="81" spans="1:10" x14ac:dyDescent="0.25">
      <c r="A81" s="8"/>
      <c r="B81" s="15"/>
      <c r="C81" s="21"/>
      <c r="D81" s="65"/>
      <c r="E81" s="21"/>
      <c r="F81" s="65"/>
      <c r="G81" s="9"/>
      <c r="H81" s="12"/>
      <c r="I81" s="13"/>
      <c r="J81" s="13"/>
    </row>
    <row r="82" spans="1:10" x14ac:dyDescent="0.25">
      <c r="A82" s="8"/>
      <c r="B82" s="15"/>
      <c r="C82" s="21"/>
      <c r="D82" s="65"/>
      <c r="E82" s="21"/>
      <c r="F82" s="65"/>
      <c r="G82" s="9"/>
      <c r="H82" s="12"/>
      <c r="I82" s="13"/>
      <c r="J82" s="13"/>
    </row>
    <row r="83" spans="1:10" x14ac:dyDescent="0.25">
      <c r="A83" s="8"/>
      <c r="B83" s="15"/>
      <c r="C83" s="21"/>
      <c r="D83" s="65"/>
      <c r="E83" s="21"/>
      <c r="F83" s="65"/>
      <c r="G83" s="9"/>
      <c r="H83" s="12"/>
      <c r="I83" s="13"/>
      <c r="J83" s="13"/>
    </row>
    <row r="84" spans="1:10" x14ac:dyDescent="0.25">
      <c r="C84" s="21"/>
      <c r="D84" s="65"/>
      <c r="E84" s="21"/>
      <c r="F84" s="65"/>
    </row>
    <row r="85" spans="1:10" x14ac:dyDescent="0.25">
      <c r="H85">
        <f>D86+F86</f>
        <v>99</v>
      </c>
    </row>
    <row r="86" spans="1:10" x14ac:dyDescent="0.25">
      <c r="D86" s="61">
        <f>SUM(D3:D84)</f>
        <v>53</v>
      </c>
      <c r="F86" s="61">
        <f>SUM(F3:F84)</f>
        <v>46</v>
      </c>
    </row>
  </sheetData>
  <sortState xmlns:xlrd2="http://schemas.microsoft.com/office/spreadsheetml/2017/richdata2" ref="A6:G30">
    <sortCondition ref="B6:B30"/>
  </sortState>
  <mergeCells count="4">
    <mergeCell ref="R1:S1"/>
    <mergeCell ref="R2:S2"/>
    <mergeCell ref="A46:G46"/>
    <mergeCell ref="A45:G45"/>
  </mergeCells>
  <pageMargins left="0.7" right="0.7" top="0.75" bottom="0.75" header="0.3" footer="0.3"/>
  <pageSetup orientation="portrait" verticalDpi="2" r:id="rId1"/>
  <webPublishItems count="2">
    <webPublishItem id="11489" divId="MCHC 2019-20 Standings Worksheet_11489" sourceType="range" sourceRef="A2:G52" destinationFile="C:\Users\casse\OneDrive\Webmaster\methockey\results\results-atlantic-include.html" autoRepublish="1"/>
    <webPublishItem id="12522" divId="MCHC 2019-20 Standings Worksheet_12522" sourceType="range" sourceRef="R1:U7" destinationFile="C:\Users\casse\OneDrive\Webmaster\methockey\results\current-season-summary-atlantic-include.html" autoRepublish="1"/>
  </webPublishItem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Standings</vt:lpstr>
      <vt:lpstr>Old Results</vt:lpstr>
    </vt:vector>
  </TitlesOfParts>
  <Company>Suffolk County Community College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update</dc:creator>
  <cp:lastModifiedBy>Michael Casserly</cp:lastModifiedBy>
  <dcterms:created xsi:type="dcterms:W3CDTF">2010-11-16T06:35:46Z</dcterms:created>
  <dcterms:modified xsi:type="dcterms:W3CDTF">2025-11-07T01:02:26Z</dcterms:modified>
</cp:coreProperties>
</file>