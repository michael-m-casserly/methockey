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466" documentId="13_ncr:1_{6D847147-14CC-4E2E-9F58-D0DC2A8D343C}" xr6:coauthVersionLast="47" xr6:coauthVersionMax="47" xr10:uidLastSave="{99BD62F4-8664-4CD8-A7A0-0E22636FF4A6}"/>
  <bookViews>
    <workbookView xWindow="16890" yWindow="435" windowWidth="21510" windowHeight="20445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0" i="2"/>
  <c r="K9" i="2"/>
  <c r="K4" i="2"/>
  <c r="K8" i="2"/>
  <c r="K6" i="2"/>
  <c r="K5" i="2"/>
  <c r="K7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<sst xmlns="http://schemas.openxmlformats.org/spreadsheetml/2006/main" count="143" uniqueCount="67">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</sst>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C17" sqref="C17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5.42578125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6" t="s">
        <v>10</v>
      </c>
      <c r="N3" s="87"/>
      <c r="O3" s="87"/>
      <c r="P3" s="87"/>
    </row>
    <row r="4" spans="1:16" ht="18" customHeight="1" x14ac:dyDescent="0.25">
      <c r="A4" s="91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109">
        <f t="shared" ref="K4:K10" si="0">E4/D4</f>
        <v>0.75</v>
      </c>
      <c r="M4" s="4">
        <v>1</v>
      </c>
      <c r="N4" t="s">
        <v>11</v>
      </c>
    </row>
    <row r="5" spans="1:16" ht="18" customHeight="1" x14ac:dyDescent="0.25">
      <c r="A5" s="91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110">
        <f t="shared" si="0"/>
        <v>0.66666666666666663</v>
      </c>
      <c r="M5" s="4">
        <v>2</v>
      </c>
      <c r="N5" t="s">
        <v>12</v>
      </c>
    </row>
    <row r="6" spans="1:16" ht="18" customHeight="1" x14ac:dyDescent="0.25">
      <c r="A6" s="91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110">
        <f t="shared" si="0"/>
        <v>0.66666666666666663</v>
      </c>
      <c r="M6" s="4">
        <v>3</v>
      </c>
      <c r="N6" t="s">
        <v>13</v>
      </c>
    </row>
    <row r="7" spans="1:16" ht="18" customHeight="1" x14ac:dyDescent="0.25">
      <c r="A7" s="91"/>
      <c r="B7" s="57">
        <v>4</v>
      </c>
      <c r="C7" s="84" t="s">
        <v>42</v>
      </c>
      <c r="D7" s="23">
        <v>9</v>
      </c>
      <c r="E7" s="23">
        <v>5</v>
      </c>
      <c r="F7" s="23">
        <v>4</v>
      </c>
      <c r="G7" s="23">
        <v>0</v>
      </c>
      <c r="H7" s="23">
        <v>10</v>
      </c>
      <c r="I7" s="23">
        <v>40</v>
      </c>
      <c r="J7" s="23">
        <v>46</v>
      </c>
      <c r="K7" s="110">
        <f t="shared" si="0"/>
        <v>0.55555555555555558</v>
      </c>
      <c r="M7" s="4">
        <v>4</v>
      </c>
      <c r="N7" t="s">
        <v>15</v>
      </c>
    </row>
    <row r="8" spans="1:16" ht="18" customHeight="1" x14ac:dyDescent="0.25">
      <c r="A8" s="91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110">
        <f t="shared" si="0"/>
        <v>0.375</v>
      </c>
      <c r="M8" s="4">
        <v>5</v>
      </c>
      <c r="N8" t="s">
        <v>17</v>
      </c>
    </row>
    <row r="9" spans="1:16" ht="18" customHeight="1" x14ac:dyDescent="0.25">
      <c r="A9" s="91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110">
        <f t="shared" si="0"/>
        <v>0.2</v>
      </c>
    </row>
    <row r="10" spans="1:16" ht="18" customHeight="1" thickBot="1" x14ac:dyDescent="0.3">
      <c r="A10" s="91"/>
      <c r="B10" s="57">
        <v>7</v>
      </c>
      <c r="C10" s="84" t="s">
        <v>40</v>
      </c>
      <c r="D10" s="23">
        <v>2</v>
      </c>
      <c r="E10" s="23">
        <v>0</v>
      </c>
      <c r="F10" s="23">
        <v>2</v>
      </c>
      <c r="G10" s="23">
        <v>0</v>
      </c>
      <c r="H10" s="23">
        <v>0</v>
      </c>
      <c r="I10" s="23">
        <v>5</v>
      </c>
      <c r="J10" s="23">
        <v>13</v>
      </c>
      <c r="K10" s="110">
        <f t="shared" si="0"/>
        <v>0</v>
      </c>
      <c r="M10" t="s">
        <v>14</v>
      </c>
    </row>
    <row r="11" spans="1:16" ht="18" hidden="1" customHeight="1" thickBot="1" x14ac:dyDescent="0.3">
      <c r="A11" s="91"/>
      <c r="B11" s="57"/>
      <c r="C11" s="92"/>
      <c r="D11" s="93"/>
      <c r="E11" s="93"/>
      <c r="F11" s="93"/>
      <c r="G11" s="93"/>
      <c r="H11" s="93"/>
      <c r="I11" s="93"/>
      <c r="J11" s="93"/>
      <c r="K11" s="78"/>
    </row>
    <row r="12" spans="1:16" ht="17.25" thickTop="1" thickBot="1" x14ac:dyDescent="0.3">
      <c r="A12" s="91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88" t="s">
        <v>16</v>
      </c>
      <c r="N12" s="88"/>
      <c r="O12" s="88"/>
      <c r="P12" s="5">
        <v>18</v>
      </c>
    </row>
    <row r="13" spans="1:16" ht="15.75" x14ac:dyDescent="0.25">
      <c r="A13" s="1"/>
      <c r="B13" s="56"/>
      <c r="C13" s="97" t="s">
        <v>31</v>
      </c>
      <c r="D13" s="98"/>
      <c r="E13" s="98"/>
      <c r="F13" s="98"/>
      <c r="G13" s="98"/>
      <c r="H13" s="99" cm="1">
        <f t="array" aca="1" ref="H13" ca="1">LastModified()</f>
        <v>46033.461782407408</v>
      </c>
      <c r="I13" s="99"/>
      <c r="J13" s="99"/>
      <c r="K13" s="100"/>
      <c r="M13" s="32"/>
      <c r="N13" s="32"/>
      <c r="O13" s="32"/>
    </row>
    <row r="14" spans="1:16" ht="52.9" customHeight="1" thickBot="1" x14ac:dyDescent="0.3">
      <c r="B14" s="33"/>
      <c r="C14" s="94" t="s">
        <v>66</v>
      </c>
      <c r="D14" s="95"/>
      <c r="E14" s="95"/>
      <c r="F14" s="95"/>
      <c r="G14" s="95"/>
      <c r="H14" s="95"/>
      <c r="I14" s="95"/>
      <c r="J14" s="95"/>
      <c r="K14" s="96"/>
    </row>
    <row r="15" spans="1:16" x14ac:dyDescent="0.25">
      <c r="G15" s="89" t="s">
        <v>18</v>
      </c>
      <c r="H15" s="89"/>
      <c r="I15" s="7">
        <f>SUM(I4:I12)</f>
        <v>204</v>
      </c>
      <c r="J15" s="7">
        <f>SUM(J4:J12)</f>
        <v>204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M37" sqref="M37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1" t="s">
        <v>26</v>
      </c>
      <c r="S1" s="102"/>
      <c r="T1" s="68">
        <f>MAX(A:A)</f>
        <v>31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3" t="s">
        <v>27</v>
      </c>
      <c r="S2" s="104"/>
      <c r="T2" s="69">
        <f>SUM(T3:T7)</f>
        <v>20</v>
      </c>
      <c r="U2" s="70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0.15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39</v>
      </c>
      <c r="D4" s="59">
        <v>0</v>
      </c>
      <c r="E4" s="36" t="s">
        <v>42</v>
      </c>
      <c r="F4" s="59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59">
        <v>1</v>
      </c>
      <c r="E5" s="36" t="s">
        <v>44</v>
      </c>
      <c r="F5" s="59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0.15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41</v>
      </c>
      <c r="D6" s="59">
        <v>4</v>
      </c>
      <c r="E6" s="36" t="s">
        <v>43</v>
      </c>
      <c r="F6" s="59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0.25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41</v>
      </c>
      <c r="D7" s="59">
        <v>8</v>
      </c>
      <c r="E7" s="36" t="s">
        <v>44</v>
      </c>
      <c r="F7" s="59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0.35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42</v>
      </c>
      <c r="D8" s="59">
        <v>4</v>
      </c>
      <c r="E8" s="36" t="s">
        <v>40</v>
      </c>
      <c r="F8" s="59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44</v>
      </c>
      <c r="D9" s="59">
        <v>4</v>
      </c>
      <c r="E9" s="36" t="s">
        <v>42</v>
      </c>
      <c r="F9" s="59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42</v>
      </c>
      <c r="D10" s="59">
        <v>2</v>
      </c>
      <c r="E10" s="36" t="s">
        <v>34</v>
      </c>
      <c r="F10" s="59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41</v>
      </c>
      <c r="D11" s="59">
        <v>9</v>
      </c>
      <c r="E11" s="36" t="s">
        <v>42</v>
      </c>
      <c r="F11" s="59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34</v>
      </c>
      <c r="D12" s="59">
        <v>7</v>
      </c>
      <c r="E12" s="36" t="s">
        <v>43</v>
      </c>
      <c r="F12" s="59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25">
      <c r="A13" s="34">
        <v>11</v>
      </c>
      <c r="B13" s="35">
        <v>45963</v>
      </c>
      <c r="C13" s="36" t="s">
        <v>43</v>
      </c>
      <c r="D13" s="59">
        <v>5</v>
      </c>
      <c r="E13" s="36" t="s">
        <v>34</v>
      </c>
      <c r="F13" s="59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25">
      <c r="A14" s="34">
        <v>12</v>
      </c>
      <c r="B14" s="35">
        <v>45968</v>
      </c>
      <c r="C14" s="36" t="s">
        <v>44</v>
      </c>
      <c r="D14" s="59">
        <v>6</v>
      </c>
      <c r="E14" s="36" t="s">
        <v>41</v>
      </c>
      <c r="F14" s="59">
        <v>4</v>
      </c>
      <c r="G14" s="37"/>
      <c r="H14" s="38" t="s">
        <v>61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25">
      <c r="A15" s="34">
        <v>13</v>
      </c>
      <c r="B15" s="35">
        <v>45970</v>
      </c>
      <c r="C15" s="36" t="s">
        <v>39</v>
      </c>
      <c r="D15" s="59">
        <v>6</v>
      </c>
      <c r="E15" s="36" t="s">
        <v>34</v>
      </c>
      <c r="F15" s="59">
        <v>2</v>
      </c>
      <c r="G15" s="37"/>
      <c r="H15" s="38" t="s">
        <v>62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25">
      <c r="A16" s="34">
        <v>14</v>
      </c>
      <c r="B16" s="35">
        <v>45975</v>
      </c>
      <c r="C16" s="36" t="s">
        <v>42</v>
      </c>
      <c r="D16" s="59">
        <v>4</v>
      </c>
      <c r="E16" s="36" t="s">
        <v>43</v>
      </c>
      <c r="F16" s="59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25">
      <c r="A17" s="34">
        <v>15</v>
      </c>
      <c r="B17" s="35">
        <v>45982</v>
      </c>
      <c r="C17" s="36" t="s">
        <v>42</v>
      </c>
      <c r="D17" s="59">
        <v>3</v>
      </c>
      <c r="E17" s="36" t="s">
        <v>44</v>
      </c>
      <c r="F17" s="59">
        <v>10</v>
      </c>
      <c r="G17" s="37"/>
      <c r="H17" s="38" t="s">
        <v>48</v>
      </c>
      <c r="I17" s="39">
        <v>1</v>
      </c>
      <c r="J17" s="39"/>
      <c r="P17" s="43">
        <f t="shared" ref="P17:P31" si="4">D17-F17</f>
        <v>-7</v>
      </c>
      <c r="Q17" s="49">
        <f t="shared" ref="Q17:Q31" si="5">ABS(P17)</f>
        <v>7</v>
      </c>
    </row>
    <row r="18" spans="1:17" s="40" customFormat="1" x14ac:dyDescent="0.25">
      <c r="A18" s="34">
        <v>16</v>
      </c>
      <c r="B18" s="35">
        <v>45983</v>
      </c>
      <c r="C18" s="36" t="s">
        <v>39</v>
      </c>
      <c r="D18" s="59">
        <v>3</v>
      </c>
      <c r="E18" s="36" t="s">
        <v>44</v>
      </c>
      <c r="F18" s="59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25">
      <c r="A19" s="34">
        <v>29</v>
      </c>
      <c r="B19" s="35">
        <v>45983</v>
      </c>
      <c r="C19" s="36" t="s">
        <v>34</v>
      </c>
      <c r="D19" s="59">
        <v>5</v>
      </c>
      <c r="E19" s="36" t="s">
        <v>42</v>
      </c>
      <c r="F19" s="59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25">
      <c r="A20" s="34">
        <v>4</v>
      </c>
      <c r="B20" s="35">
        <v>45997</v>
      </c>
      <c r="C20" s="36" t="s">
        <v>40</v>
      </c>
      <c r="D20" s="59">
        <v>3</v>
      </c>
      <c r="E20" s="36" t="s">
        <v>42</v>
      </c>
      <c r="F20" s="59">
        <v>9</v>
      </c>
      <c r="G20" s="37"/>
      <c r="H20" s="38" t="s">
        <v>47</v>
      </c>
      <c r="I20" s="39">
        <v>2</v>
      </c>
      <c r="J20" s="39"/>
      <c r="P20" s="43">
        <f t="shared" si="4"/>
        <v>-6</v>
      </c>
      <c r="Q20" s="49">
        <f t="shared" si="5"/>
        <v>6</v>
      </c>
    </row>
    <row r="21" spans="1:17" s="40" customFormat="1" x14ac:dyDescent="0.25">
      <c r="A21" s="34">
        <v>17</v>
      </c>
      <c r="B21" s="35">
        <v>45997</v>
      </c>
      <c r="C21" s="36" t="s">
        <v>39</v>
      </c>
      <c r="D21" s="59">
        <v>2</v>
      </c>
      <c r="E21" s="36" t="s">
        <v>41</v>
      </c>
      <c r="F21" s="59">
        <v>10</v>
      </c>
      <c r="G21" s="37"/>
      <c r="H21" s="38" t="s">
        <v>63</v>
      </c>
      <c r="I21" s="39">
        <v>3</v>
      </c>
      <c r="J21" s="39"/>
      <c r="P21" s="43">
        <f t="shared" si="4"/>
        <v>-8</v>
      </c>
      <c r="Q21" s="49">
        <f t="shared" si="5"/>
        <v>8</v>
      </c>
    </row>
    <row r="22" spans="1:17" s="40" customFormat="1" x14ac:dyDescent="0.25">
      <c r="A22" s="34">
        <v>18</v>
      </c>
      <c r="B22" s="35">
        <v>45998</v>
      </c>
      <c r="C22" s="36" t="s">
        <v>34</v>
      </c>
      <c r="D22" s="59">
        <v>5</v>
      </c>
      <c r="E22" s="36" t="s">
        <v>41</v>
      </c>
      <c r="F22" s="59">
        <v>8</v>
      </c>
      <c r="G22" s="37"/>
      <c r="H22" s="38" t="s">
        <v>63</v>
      </c>
      <c r="I22" s="39">
        <v>3</v>
      </c>
      <c r="J22" s="39"/>
      <c r="P22" s="43">
        <f t="shared" si="4"/>
        <v>-3</v>
      </c>
      <c r="Q22" s="49">
        <f t="shared" si="5"/>
        <v>3</v>
      </c>
    </row>
    <row r="23" spans="1:17" s="40" customFormat="1" x14ac:dyDescent="0.25">
      <c r="A23" s="34">
        <v>30</v>
      </c>
      <c r="B23" s="35">
        <v>46045</v>
      </c>
      <c r="C23" s="36" t="s">
        <v>40</v>
      </c>
      <c r="D23" s="59"/>
      <c r="E23" s="36" t="s">
        <v>34</v>
      </c>
      <c r="F23" s="59"/>
      <c r="G23" s="37"/>
      <c r="H23" s="38"/>
      <c r="I23" s="39"/>
      <c r="J23" s="39"/>
      <c r="P23" s="43">
        <f>D23-F23</f>
        <v>0</v>
      </c>
      <c r="Q23" s="49">
        <f>ABS(P23)</f>
        <v>0</v>
      </c>
    </row>
    <row r="24" spans="1:17" s="40" customFormat="1" x14ac:dyDescent="0.25">
      <c r="A24" s="34">
        <v>19</v>
      </c>
      <c r="B24" s="35">
        <v>46047</v>
      </c>
      <c r="C24" s="36" t="s">
        <v>44</v>
      </c>
      <c r="D24" s="59"/>
      <c r="E24" s="36" t="s">
        <v>34</v>
      </c>
      <c r="F24" s="59"/>
      <c r="G24" s="37"/>
      <c r="H24" s="38"/>
      <c r="I24" s="39"/>
      <c r="J24" s="39"/>
      <c r="P24" s="43">
        <f>D24-F24</f>
        <v>0</v>
      </c>
      <c r="Q24" s="49">
        <f>ABS(P24)</f>
        <v>0</v>
      </c>
    </row>
    <row r="25" spans="1:17" s="40" customFormat="1" x14ac:dyDescent="0.25">
      <c r="A25" s="34">
        <v>20</v>
      </c>
      <c r="B25" s="35">
        <v>46053</v>
      </c>
      <c r="C25" s="36" t="s">
        <v>42</v>
      </c>
      <c r="D25" s="59"/>
      <c r="E25" s="36" t="s">
        <v>41</v>
      </c>
      <c r="F25" s="59"/>
      <c r="G25" s="37"/>
      <c r="H25" s="38"/>
      <c r="I25" s="39"/>
      <c r="J25" s="39"/>
      <c r="N25" s="40">
        <f>LOOKUP(C26,M3:M7,N3:N7)</f>
        <v>6</v>
      </c>
      <c r="P25" s="43">
        <f>D25-F25</f>
        <v>0</v>
      </c>
      <c r="Q25" s="49">
        <f>ABS(P25)</f>
        <v>0</v>
      </c>
    </row>
    <row r="26" spans="1:17" s="40" customFormat="1" x14ac:dyDescent="0.25">
      <c r="A26" s="34">
        <v>21</v>
      </c>
      <c r="B26" s="35">
        <v>46053</v>
      </c>
      <c r="C26" s="36" t="s">
        <v>39</v>
      </c>
      <c r="D26" s="59"/>
      <c r="E26" s="36" t="s">
        <v>43</v>
      </c>
      <c r="F26" s="59"/>
      <c r="G26" s="37"/>
      <c r="H26" s="38"/>
      <c r="I26" s="39"/>
      <c r="J26" s="39"/>
      <c r="O26" s="40">
        <f>LOOKUP(E26,M3:M7,N3:N7)</f>
        <v>7</v>
      </c>
      <c r="P26" s="43">
        <f>D26-F26</f>
        <v>0</v>
      </c>
      <c r="Q26" s="49">
        <f>ABS(P26)</f>
        <v>0</v>
      </c>
    </row>
    <row r="27" spans="1:17" s="40" customFormat="1" x14ac:dyDescent="0.25">
      <c r="A27" s="34">
        <v>31</v>
      </c>
      <c r="B27" s="35">
        <v>46053</v>
      </c>
      <c r="C27" s="36" t="s">
        <v>40</v>
      </c>
      <c r="D27" s="59"/>
      <c r="E27" s="36" t="s">
        <v>44</v>
      </c>
      <c r="F27" s="59"/>
      <c r="G27" s="37"/>
      <c r="H27" s="38"/>
      <c r="I27" s="39"/>
      <c r="J27" s="39"/>
      <c r="P27" s="43">
        <f>D27-F27</f>
        <v>0</v>
      </c>
      <c r="Q27" s="49">
        <f>ABS(P27)</f>
        <v>0</v>
      </c>
    </row>
    <row r="28" spans="1:17" s="40" customFormat="1" x14ac:dyDescent="0.25">
      <c r="A28" s="34">
        <v>22</v>
      </c>
      <c r="B28" s="35">
        <v>46054</v>
      </c>
      <c r="C28" s="36" t="s">
        <v>42</v>
      </c>
      <c r="D28" s="59"/>
      <c r="E28" s="36" t="s">
        <v>39</v>
      </c>
      <c r="F28" s="59"/>
      <c r="G28" s="37"/>
      <c r="H28" s="38"/>
      <c r="I28" s="39"/>
      <c r="J28" s="39"/>
      <c r="P28" s="43">
        <f>D28-F28</f>
        <v>0</v>
      </c>
      <c r="Q28" s="49">
        <f>ABS(P28)</f>
        <v>0</v>
      </c>
    </row>
    <row r="29" spans="1:17" s="40" customFormat="1" x14ac:dyDescent="0.25">
      <c r="A29" s="34">
        <v>23</v>
      </c>
      <c r="B29" s="35">
        <v>46054</v>
      </c>
      <c r="C29" s="36" t="s">
        <v>43</v>
      </c>
      <c r="D29" s="59"/>
      <c r="E29" s="36" t="s">
        <v>41</v>
      </c>
      <c r="F29" s="59"/>
      <c r="G29" s="37"/>
      <c r="H29" s="38"/>
      <c r="I29" s="39"/>
      <c r="J29" s="39"/>
      <c r="P29" s="43">
        <f>D29-F29</f>
        <v>0</v>
      </c>
      <c r="Q29" s="49">
        <f>ABS(P29)</f>
        <v>0</v>
      </c>
    </row>
    <row r="30" spans="1:17" s="40" customFormat="1" x14ac:dyDescent="0.25">
      <c r="A30" s="34">
        <v>24</v>
      </c>
      <c r="B30" s="35">
        <v>46060</v>
      </c>
      <c r="C30" s="36" t="s">
        <v>44</v>
      </c>
      <c r="D30" s="59"/>
      <c r="E30" s="36" t="s">
        <v>39</v>
      </c>
      <c r="F30" s="59"/>
      <c r="G30" s="37"/>
      <c r="H30" s="38"/>
      <c r="I30" s="39"/>
      <c r="J30" s="39"/>
      <c r="P30" s="43">
        <f>D30-F30</f>
        <v>0</v>
      </c>
      <c r="Q30" s="49">
        <f>ABS(P30)</f>
        <v>0</v>
      </c>
    </row>
    <row r="31" spans="1:17" s="40" customFormat="1" x14ac:dyDescent="0.25">
      <c r="A31" s="34">
        <v>25</v>
      </c>
      <c r="B31" s="35">
        <v>46060</v>
      </c>
      <c r="C31" s="36" t="s">
        <v>43</v>
      </c>
      <c r="D31" s="59"/>
      <c r="E31" s="36" t="s">
        <v>42</v>
      </c>
      <c r="F31" s="59"/>
      <c r="G31" s="37"/>
      <c r="H31" s="38"/>
      <c r="I31" s="39"/>
      <c r="J31" s="39"/>
      <c r="P31" s="43">
        <f>D31-F31</f>
        <v>0</v>
      </c>
      <c r="Q31" s="49">
        <f>ABS(P31)</f>
        <v>0</v>
      </c>
    </row>
    <row r="32" spans="1:17" s="40" customFormat="1" x14ac:dyDescent="0.25">
      <c r="A32" s="34">
        <v>26</v>
      </c>
      <c r="B32" s="35">
        <v>46066</v>
      </c>
      <c r="C32" s="36" t="s">
        <v>44</v>
      </c>
      <c r="D32" s="59"/>
      <c r="E32" s="36" t="s">
        <v>43</v>
      </c>
      <c r="F32" s="59"/>
      <c r="G32" s="37"/>
      <c r="H32" s="38"/>
      <c r="I32" s="39"/>
      <c r="J32" s="39"/>
      <c r="P32" s="43">
        <f>D32-F32</f>
        <v>0</v>
      </c>
      <c r="Q32" s="49">
        <f>ABS(P32)</f>
        <v>0</v>
      </c>
    </row>
    <row r="33" spans="1:17" s="40" customFormat="1" x14ac:dyDescent="0.25">
      <c r="A33" s="34">
        <v>27</v>
      </c>
      <c r="B33" s="35">
        <v>46068</v>
      </c>
      <c r="C33" s="36" t="s">
        <v>43</v>
      </c>
      <c r="D33" s="59"/>
      <c r="E33" s="36" t="s">
        <v>44</v>
      </c>
      <c r="F33" s="59"/>
      <c r="G33" s="37"/>
      <c r="H33" s="38"/>
      <c r="I33" s="39"/>
      <c r="J33" s="39"/>
      <c r="P33" s="43">
        <f>D33-F33</f>
        <v>0</v>
      </c>
      <c r="Q33" s="49">
        <f>ABS(P33)</f>
        <v>0</v>
      </c>
    </row>
    <row r="34" spans="1:17" s="40" customFormat="1" x14ac:dyDescent="0.25">
      <c r="A34" s="34"/>
      <c r="B34" s="35"/>
      <c r="C34" s="36"/>
      <c r="D34" s="59"/>
      <c r="E34" s="36"/>
      <c r="F34" s="59"/>
      <c r="G34" s="37"/>
      <c r="H34" s="38"/>
      <c r="I34" s="39"/>
      <c r="J34" s="39"/>
      <c r="P34" s="43">
        <f t="shared" ref="P32:P42" si="6">D34-F34</f>
        <v>0</v>
      </c>
      <c r="Q34" s="49">
        <f t="shared" ref="Q32:Q42" si="7">ABS(P34)</f>
        <v>0</v>
      </c>
    </row>
    <row r="35" spans="1:17" s="40" customFormat="1" x14ac:dyDescent="0.25">
      <c r="A35" s="34"/>
      <c r="B35" s="35"/>
      <c r="C35" s="36"/>
      <c r="D35" s="59"/>
      <c r="E35" s="36"/>
      <c r="F35" s="59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8"/>
      <c r="B45" s="108"/>
      <c r="C45" s="108"/>
      <c r="D45" s="108"/>
      <c r="E45" s="108"/>
      <c r="F45" s="108"/>
      <c r="G45" s="108"/>
      <c r="H45" s="38"/>
      <c r="I45" s="39"/>
      <c r="J45" s="39"/>
    </row>
    <row r="46" spans="1:17" s="40" customFormat="1" x14ac:dyDescent="0.25">
      <c r="A46" s="105" t="s">
        <v>45</v>
      </c>
      <c r="B46" s="106"/>
      <c r="C46" s="106"/>
      <c r="D46" s="106"/>
      <c r="E46" s="106"/>
      <c r="F46" s="106"/>
      <c r="G46" s="107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25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25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25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25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25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25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25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25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25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25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25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25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25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25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25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25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25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25">
      <c r="C84" s="21"/>
      <c r="D84" s="62"/>
      <c r="E84" s="21"/>
      <c r="F84" s="62"/>
    </row>
    <row r="85" spans="1:10" x14ac:dyDescent="0.25">
      <c r="H85">
        <f>D86+F86</f>
        <v>204</v>
      </c>
    </row>
    <row r="86" spans="1:10" x14ac:dyDescent="0.25">
      <c r="D86" s="58">
        <f>SUM(D3:D84)</f>
        <v>90</v>
      </c>
      <c r="F86" s="58">
        <f>SUM(F3:F84)</f>
        <v>114</v>
      </c>
    </row>
  </sheetData>
  <sortState xmlns:xlrd2="http://schemas.microsoft.com/office/spreadsheetml/2017/richdata2" ref="A23:U33">
    <sortCondition ref="B23:B33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2026-01-11T16:05:29Z</dcterms:modified>
</cp:coreProperties>
</file>