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1860" documentId="13_ncr:1_{6D847147-14CC-4E2E-9F58-D0DC2A8D343C}" xr6:coauthVersionLast="47" xr6:coauthVersionMax="47" xr10:uidLastSave="{A6482BCC-8DED-4718-9E87-393763E784FF}"/>
  <bookViews>
    <workbookView xWindow="-108" yWindow="-108" windowWidth="23256" windowHeight="13896" activeTab="1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 s="1"/>
  <c r="P11" i="1"/>
  <c r="Q11" i="1" s="1"/>
  <c r="P10" i="1"/>
  <c r="Q10" i="1" s="1"/>
  <c r="P9" i="1"/>
  <c r="Q9" i="1" s="1"/>
  <c r="P8" i="1"/>
  <c r="Q8" i="1" s="1"/>
  <c r="F86" i="1"/>
  <c r="D86" i="1"/>
  <c r="G13" i="2" a="1"/>
  <c r="H85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<sst xmlns="http://schemas.openxmlformats.org/spreadsheetml/2006/main" count="128" uniqueCount="64">
  <si>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</si>
  <si>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</si>
  <si>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</si>
  <si>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</si>
  <si>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</si>
  <si>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</si>
  <si>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</si>
  <si>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</si>
  <si>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</si>
  <si>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</si>
  <si>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</si>
  <si>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</si>
  <si>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</si>
  <si>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</si>
  <si>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</si>
  <si>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</si>
  <si>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</si>
  <si>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</si>
  <si>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</si>
  <si>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</si>
  <si>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</si>
  <si>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</si>
  <si>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</si>
  <si>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</si>
  <si>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</si>
  <si>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</si>
  <si>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</si>
  <si>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</si>
  <si>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</si>
  <si>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</si>
  <si>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</si>
  <si>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</si>
  <si>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FAIRFIELD</t>
  </si>
  <si>
    <t>HOFSTRA</t>
  </si>
  <si>
    <t>SHU ACDC</t>
  </si>
  <si>
    <t>STEVENS</t>
  </si>
  <si>
    <t>ST. JOHNS</t>
  </si>
  <si>
    <t>RUTGERS</t>
  </si>
  <si>
    <t>STONY BROOK</t>
  </si>
  <si>
    <t>Stevens</t>
  </si>
  <si>
    <t>St. Johns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</si>
  <si>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</si>
  <si>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</si>
  <si>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</si>
  <si>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</si>
  <si>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</si>
  <si>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</si>
  <si>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</si>
  <si>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</si>
  <si>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</si>
  <si>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</si>
  <si>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</si>
  <si>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</si>
  <si>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</si>
  <si>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</si>
  <si>
    <t>A1</t>
  </si>
  <si>
    <t>A2</t>
  </si>
  <si>
    <t>A3</t>
  </si>
  <si>
    <t>A5</t>
  </si>
  <si>
    <t>A4</t>
  </si>
  <si>
    <t>A6</t>
  </si>
  <si>
    <t>All Teams Qualify for Playoffs</t>
  </si>
  <si>
    <t>Fairfield (Away) Wins</t>
  </si>
  <si>
    <t>Stevens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</si>
</sst>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3" xfId="0" applyFont="1" applyBorder="1" applyAlignment="1">
      <alignment horizontal="center" vertical="center"/>
    </xf>
    <xf numFmtId="164" fontId="8" fillId="0" borderId="34" xfId="0" applyNumberFormat="1" applyFont="1" applyBorder="1" applyAlignment="1">
      <alignment horizontal="center" vertical="center"/>
    </xf>
    <xf numFmtId="0" fontId="18" fillId="0" borderId="34" xfId="2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9" fillId="0" borderId="35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workbookViewId="0">
      <selection activeCell="Q14" sqref="Q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</row>
    <row r="3" spans="1:16" ht="18" x14ac:dyDescent="0.3">
      <c r="A3" s="86"/>
      <c r="B3" s="66"/>
      <c r="C3" s="66" t="s">
        <v>2</v>
      </c>
      <c r="D3" s="67" t="s">
        <v>21</v>
      </c>
      <c r="E3" s="67" t="s">
        <v>19</v>
      </c>
      <c r="F3" s="67" t="s">
        <v>20</v>
      </c>
      <c r="G3" s="67" t="s">
        <v>29</v>
      </c>
      <c r="H3" s="67" t="s">
        <v>30</v>
      </c>
      <c r="I3" s="67" t="s">
        <v>3</v>
      </c>
      <c r="J3" s="68" t="s">
        <v>4</v>
      </c>
      <c r="K3" s="86"/>
      <c r="M3" s="81" t="s">
        <v>10</v>
      </c>
      <c r="N3" s="82"/>
      <c r="O3" s="82"/>
      <c r="P3" s="82"/>
    </row>
    <row r="4" spans="1:16" ht="18" customHeight="1" x14ac:dyDescent="0.3">
      <c r="A4" s="86"/>
      <c r="B4" s="57">
        <v>1</v>
      </c>
      <c r="C4" s="59" t="s">
        <v>34</v>
      </c>
      <c r="D4" s="23">
        <v>6</v>
      </c>
      <c r="E4" s="23">
        <v>3</v>
      </c>
      <c r="F4" s="23">
        <v>2</v>
      </c>
      <c r="G4" s="23">
        <v>1</v>
      </c>
      <c r="H4" s="58">
        <v>7</v>
      </c>
      <c r="I4" s="23">
        <v>29</v>
      </c>
      <c r="J4" s="60">
        <v>24</v>
      </c>
      <c r="K4" s="86"/>
      <c r="M4" s="4">
        <v>1</v>
      </c>
      <c r="N4" t="s">
        <v>11</v>
      </c>
    </row>
    <row r="5" spans="1:16" ht="18" customHeight="1" x14ac:dyDescent="0.3">
      <c r="A5" s="86"/>
      <c r="B5" s="57">
        <v>2</v>
      </c>
      <c r="C5" s="59" t="s">
        <v>42</v>
      </c>
      <c r="D5" s="23">
        <v>5</v>
      </c>
      <c r="E5" s="23">
        <v>3</v>
      </c>
      <c r="F5" s="23">
        <v>2</v>
      </c>
      <c r="G5" s="23">
        <v>0</v>
      </c>
      <c r="H5" s="58">
        <v>6</v>
      </c>
      <c r="I5" s="23">
        <v>18</v>
      </c>
      <c r="J5" s="60">
        <v>21</v>
      </c>
      <c r="K5" s="86"/>
      <c r="M5" s="4">
        <v>2</v>
      </c>
      <c r="N5" t="s">
        <v>12</v>
      </c>
    </row>
    <row r="6" spans="1:16" ht="18" customHeight="1" x14ac:dyDescent="0.3">
      <c r="A6" s="86"/>
      <c r="B6" s="57">
        <v>3</v>
      </c>
      <c r="C6" s="59" t="s">
        <v>43</v>
      </c>
      <c r="D6" s="23">
        <v>3</v>
      </c>
      <c r="E6" s="23">
        <v>2</v>
      </c>
      <c r="F6" s="23">
        <v>1</v>
      </c>
      <c r="G6" s="23">
        <v>0</v>
      </c>
      <c r="H6" s="58">
        <v>4</v>
      </c>
      <c r="I6" s="23">
        <v>14</v>
      </c>
      <c r="J6" s="60">
        <v>15</v>
      </c>
      <c r="K6" s="86"/>
      <c r="M6" s="4">
        <v>3</v>
      </c>
      <c r="N6" t="s">
        <v>13</v>
      </c>
    </row>
    <row r="7" spans="1:16" ht="18" customHeight="1" x14ac:dyDescent="0.3">
      <c r="A7" s="86"/>
      <c r="B7" s="57">
        <v>4</v>
      </c>
      <c r="C7" s="59" t="s">
        <v>41</v>
      </c>
      <c r="D7" s="23">
        <v>4</v>
      </c>
      <c r="E7" s="23">
        <v>2</v>
      </c>
      <c r="F7" s="23">
        <v>2</v>
      </c>
      <c r="G7" s="23">
        <v>0</v>
      </c>
      <c r="H7" s="58">
        <v>4</v>
      </c>
      <c r="I7" s="23">
        <v>25</v>
      </c>
      <c r="J7" s="60">
        <v>20</v>
      </c>
      <c r="K7" s="86"/>
      <c r="M7" s="4">
        <v>4</v>
      </c>
      <c r="N7" t="s">
        <v>15</v>
      </c>
    </row>
    <row r="8" spans="1:16" ht="18" customHeight="1" x14ac:dyDescent="0.3">
      <c r="A8" s="86"/>
      <c r="B8" s="57">
        <v>5</v>
      </c>
      <c r="C8" s="59" t="s">
        <v>44</v>
      </c>
      <c r="D8" s="23">
        <v>4</v>
      </c>
      <c r="E8" s="23">
        <v>2</v>
      </c>
      <c r="F8" s="23">
        <v>2</v>
      </c>
      <c r="G8" s="23">
        <v>0</v>
      </c>
      <c r="H8" s="58">
        <v>4</v>
      </c>
      <c r="I8" s="23">
        <v>19</v>
      </c>
      <c r="J8" s="60">
        <v>18</v>
      </c>
      <c r="K8" s="86"/>
      <c r="M8" s="4">
        <v>5</v>
      </c>
      <c r="N8" t="s">
        <v>17</v>
      </c>
    </row>
    <row r="9" spans="1:16" ht="18" customHeight="1" x14ac:dyDescent="0.3">
      <c r="A9" s="86"/>
      <c r="B9" s="57">
        <v>6</v>
      </c>
      <c r="C9" s="59" t="s">
        <v>39</v>
      </c>
      <c r="D9" s="23">
        <v>3</v>
      </c>
      <c r="E9" s="23">
        <v>1</v>
      </c>
      <c r="F9" s="23">
        <v>2</v>
      </c>
      <c r="G9" s="23">
        <v>0</v>
      </c>
      <c r="H9" s="58">
        <v>2</v>
      </c>
      <c r="I9" s="23">
        <v>10</v>
      </c>
      <c r="J9" s="60">
        <v>15</v>
      </c>
      <c r="K9" s="86"/>
    </row>
    <row r="10" spans="1:16" ht="18" customHeight="1" thickBot="1" x14ac:dyDescent="0.35">
      <c r="A10" s="86"/>
      <c r="B10" s="57">
        <v>7</v>
      </c>
      <c r="C10" s="59" t="s">
        <v>40</v>
      </c>
      <c r="D10" s="23">
        <v>1</v>
      </c>
      <c r="E10" s="23">
        <v>0</v>
      </c>
      <c r="F10" s="23">
        <v>1</v>
      </c>
      <c r="G10" s="23">
        <v>0</v>
      </c>
      <c r="H10" s="58">
        <v>0</v>
      </c>
      <c r="I10" s="23">
        <v>2</v>
      </c>
      <c r="J10" s="60">
        <v>4</v>
      </c>
      <c r="K10" s="86"/>
      <c r="M10" t="s">
        <v>14</v>
      </c>
    </row>
    <row r="11" spans="1:16" ht="18" hidden="1" customHeight="1" thickBot="1" x14ac:dyDescent="0.35">
      <c r="A11" s="86"/>
      <c r="B11" s="57"/>
      <c r="C11" s="94"/>
      <c r="D11" s="95"/>
      <c r="E11" s="95"/>
      <c r="F11" s="95"/>
      <c r="G11" s="95"/>
      <c r="H11" s="95"/>
      <c r="I11" s="95"/>
      <c r="J11" s="96"/>
      <c r="K11" s="86"/>
    </row>
    <row r="12" spans="1:16" ht="16.8" thickTop="1" thickBot="1" x14ac:dyDescent="0.35">
      <c r="A12" s="86"/>
      <c r="B12" s="57"/>
      <c r="C12" s="97"/>
      <c r="D12" s="98"/>
      <c r="E12" s="98"/>
      <c r="F12" s="98"/>
      <c r="G12" s="98"/>
      <c r="H12" s="98"/>
      <c r="I12" s="98"/>
      <c r="J12" s="99"/>
      <c r="K12" s="86"/>
      <c r="M12" s="83" t="s">
        <v>16</v>
      </c>
      <c r="N12" s="83"/>
      <c r="O12" s="83"/>
      <c r="P12" s="5">
        <v>13</v>
      </c>
    </row>
    <row r="13" spans="1:16" ht="15.6" x14ac:dyDescent="0.3">
      <c r="A13" s="1"/>
      <c r="B13" s="56"/>
      <c r="C13" s="89" t="s">
        <v>31</v>
      </c>
      <c r="D13" s="90"/>
      <c r="E13" s="90"/>
      <c r="F13" s="90"/>
      <c r="G13" s="87" cm="1">
        <f t="array" aca="1" ref="G13" ca="1">LastModified()</f>
        <v>45973.775625000002</v>
      </c>
      <c r="H13" s="87"/>
      <c r="I13" s="87"/>
      <c r="J13" s="88"/>
      <c r="K13" s="1"/>
      <c r="M13" s="32"/>
      <c r="N13" s="32"/>
      <c r="O13" s="32"/>
    </row>
    <row r="14" spans="1:16" ht="52.95" customHeight="1" thickBot="1" x14ac:dyDescent="0.35">
      <c r="B14" s="33"/>
      <c r="C14" s="91" t="s">
        <v>61</v>
      </c>
      <c r="D14" s="92"/>
      <c r="E14" s="92"/>
      <c r="F14" s="92"/>
      <c r="G14" s="92"/>
      <c r="H14" s="92"/>
      <c r="I14" s="92"/>
      <c r="J14" s="93"/>
    </row>
    <row r="15" spans="1:16" x14ac:dyDescent="0.3">
      <c r="G15" s="84" t="s">
        <v>18</v>
      </c>
      <c r="H15" s="84"/>
      <c r="I15" s="7">
        <f>SUM(I4:I12)</f>
        <v>117</v>
      </c>
      <c r="J15" s="7">
        <f>SUM(J4:J12)</f>
        <v>117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6"/>
  <sheetViews>
    <sheetView tabSelected="1" zoomScaleNormal="100" workbookViewId="0">
      <selection activeCell="A15" sqref="A15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" style="61" bestFit="1" customWidth="1"/>
    <col min="5" max="5" width="10.88671875" style="19" bestFit="1" customWidth="1"/>
    <col min="6" max="6" width="3" style="6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100" t="s">
        <v>26</v>
      </c>
      <c r="S1" s="101"/>
      <c r="T1" s="73">
        <f>MAX(A:A)</f>
        <v>28</v>
      </c>
      <c r="U1" s="72"/>
    </row>
    <row r="2" spans="1:21" ht="15.6" thickTop="1" thickBot="1" x14ac:dyDescent="0.35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33</v>
      </c>
      <c r="N2" s="6">
        <v>2</v>
      </c>
      <c r="P2" s="17" t="s">
        <v>22</v>
      </c>
      <c r="Q2" s="18" t="s">
        <v>23</v>
      </c>
      <c r="R2" s="102" t="s">
        <v>27</v>
      </c>
      <c r="S2" s="103"/>
      <c r="T2" s="74">
        <f>SUM(T3:T7)</f>
        <v>13</v>
      </c>
      <c r="U2" s="75"/>
    </row>
    <row r="3" spans="1:21" s="40" customFormat="1" ht="15.6" thickTop="1" thickBot="1" x14ac:dyDescent="0.35">
      <c r="A3" s="34">
        <v>1</v>
      </c>
      <c r="B3" s="35">
        <v>45928</v>
      </c>
      <c r="C3" s="36" t="s">
        <v>34</v>
      </c>
      <c r="D3" s="62">
        <v>9</v>
      </c>
      <c r="E3" s="36" t="s">
        <v>39</v>
      </c>
      <c r="F3" s="62">
        <v>4</v>
      </c>
      <c r="G3" s="37"/>
      <c r="H3" s="38" t="s">
        <v>46</v>
      </c>
      <c r="I3" s="39">
        <v>6</v>
      </c>
      <c r="J3" s="39"/>
      <c r="M3" s="41" t="s">
        <v>37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COUNTIF($Q$3:$Q$44,R3)</f>
        <v>2</v>
      </c>
      <c r="U3" s="45">
        <f>IF($T$2&gt;0, T3/$T$2, 0)</f>
        <v>0.15384615384615385</v>
      </c>
    </row>
    <row r="4" spans="1:21" s="40" customFormat="1" ht="15.6" thickTop="1" thickBot="1" x14ac:dyDescent="0.35">
      <c r="A4" s="34">
        <v>2</v>
      </c>
      <c r="B4" s="35">
        <v>45935</v>
      </c>
      <c r="C4" s="36" t="s">
        <v>39</v>
      </c>
      <c r="D4" s="62">
        <v>0</v>
      </c>
      <c r="E4" s="36" t="s">
        <v>42</v>
      </c>
      <c r="F4" s="62">
        <v>4</v>
      </c>
      <c r="G4" s="37"/>
      <c r="H4" s="38" t="s">
        <v>47</v>
      </c>
      <c r="I4" s="39">
        <v>2</v>
      </c>
      <c r="J4" s="39"/>
      <c r="M4" s="42" t="s">
        <v>34</v>
      </c>
      <c r="N4" s="42">
        <v>4</v>
      </c>
      <c r="P4" s="43">
        <f t="shared" ref="P4:P11" si="0">D4-F4</f>
        <v>-4</v>
      </c>
      <c r="Q4" s="40">
        <f t="shared" ref="Q4:Q11" si="1">ABS(P4)</f>
        <v>4</v>
      </c>
      <c r="R4" s="44">
        <v>2</v>
      </c>
      <c r="S4" s="40" t="s">
        <v>25</v>
      </c>
      <c r="T4" s="40">
        <f>COUNTIF($Q$3:$Q$44,R4)</f>
        <v>2</v>
      </c>
      <c r="U4" s="45">
        <f>IF($T$2&gt;0, T4/$T$2, 0)</f>
        <v>0.15384615384615385</v>
      </c>
    </row>
    <row r="5" spans="1:21" s="40" customFormat="1" ht="15.6" thickTop="1" thickBot="1" x14ac:dyDescent="0.35">
      <c r="A5" s="34">
        <v>3</v>
      </c>
      <c r="B5" s="35">
        <v>45935</v>
      </c>
      <c r="C5" s="36" t="s">
        <v>34</v>
      </c>
      <c r="D5" s="62">
        <v>1</v>
      </c>
      <c r="E5" s="36" t="s">
        <v>44</v>
      </c>
      <c r="F5" s="62">
        <v>5</v>
      </c>
      <c r="G5" s="37"/>
      <c r="H5" s="38" t="s">
        <v>48</v>
      </c>
      <c r="I5" s="39">
        <v>1</v>
      </c>
      <c r="J5" s="39"/>
      <c r="M5" s="42" t="s">
        <v>36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COUNTIF($Q$3:$Q$44,R5)</f>
        <v>1</v>
      </c>
      <c r="U5" s="45">
        <f>IF($T$2&gt;0, T5/$T$2, 0)</f>
        <v>7.6923076923076927E-2</v>
      </c>
    </row>
    <row r="6" spans="1:21" s="40" customFormat="1" ht="15.6" thickTop="1" thickBot="1" x14ac:dyDescent="0.35">
      <c r="A6" s="34">
        <v>5</v>
      </c>
      <c r="B6" s="35">
        <v>45947</v>
      </c>
      <c r="C6" s="36" t="s">
        <v>41</v>
      </c>
      <c r="D6" s="62">
        <v>4</v>
      </c>
      <c r="E6" s="36" t="s">
        <v>43</v>
      </c>
      <c r="F6" s="62">
        <v>7</v>
      </c>
      <c r="G6" s="37"/>
      <c r="H6" s="38" t="s">
        <v>49</v>
      </c>
      <c r="I6" s="39">
        <v>7</v>
      </c>
      <c r="J6" s="39"/>
      <c r="M6" s="42" t="s">
        <v>35</v>
      </c>
      <c r="N6" s="42">
        <v>6</v>
      </c>
      <c r="P6" s="43">
        <f t="shared" si="0"/>
        <v>-3</v>
      </c>
      <c r="Q6" s="40">
        <f t="shared" si="1"/>
        <v>3</v>
      </c>
      <c r="R6" s="44">
        <v>4</v>
      </c>
      <c r="S6" s="40" t="s">
        <v>25</v>
      </c>
      <c r="T6" s="40">
        <f>COUNTIF($Q$3:$Q$44,R6)</f>
        <v>5</v>
      </c>
      <c r="U6" s="45">
        <f>IF($T$2&gt;0, T6/$T$2, 0)</f>
        <v>0.38461538461538464</v>
      </c>
    </row>
    <row r="7" spans="1:21" s="40" customFormat="1" ht="15.6" thickTop="1" thickBot="1" x14ac:dyDescent="0.35">
      <c r="A7" s="34">
        <v>6</v>
      </c>
      <c r="B7" s="35">
        <v>45948</v>
      </c>
      <c r="C7" s="36" t="s">
        <v>41</v>
      </c>
      <c r="D7" s="62">
        <v>8</v>
      </c>
      <c r="E7" s="36" t="s">
        <v>44</v>
      </c>
      <c r="F7" s="62">
        <v>4</v>
      </c>
      <c r="G7" s="37"/>
      <c r="H7" s="38" t="s">
        <v>50</v>
      </c>
      <c r="I7" s="39">
        <v>1</v>
      </c>
      <c r="J7" s="39"/>
      <c r="M7" s="42" t="s">
        <v>38</v>
      </c>
      <c r="N7" s="42">
        <v>7</v>
      </c>
      <c r="P7" s="43">
        <f t="shared" si="0"/>
        <v>4</v>
      </c>
      <c r="Q7" s="40">
        <f t="shared" si="1"/>
        <v>4</v>
      </c>
      <c r="R7" s="46" t="s">
        <v>24</v>
      </c>
      <c r="S7" s="47" t="s">
        <v>25</v>
      </c>
      <c r="T7" s="47">
        <f>COUNTIF($Q$3:$Q$44,"&gt;=5")</f>
        <v>3</v>
      </c>
      <c r="U7" s="48">
        <f>IF($T$2&gt;0, T7/$T$2, 0)</f>
        <v>0.23076923076923078</v>
      </c>
    </row>
    <row r="8" spans="1:21" s="40" customFormat="1" ht="15.6" thickTop="1" thickBot="1" x14ac:dyDescent="0.35">
      <c r="A8" s="34">
        <v>28</v>
      </c>
      <c r="B8" s="35">
        <v>45948</v>
      </c>
      <c r="C8" s="36" t="s">
        <v>42</v>
      </c>
      <c r="D8" s="62">
        <v>4</v>
      </c>
      <c r="E8" s="36" t="s">
        <v>40</v>
      </c>
      <c r="F8" s="62">
        <v>2</v>
      </c>
      <c r="G8" s="37"/>
      <c r="H8" s="38" t="s">
        <v>51</v>
      </c>
      <c r="I8" s="39">
        <v>5</v>
      </c>
      <c r="J8" s="39"/>
      <c r="M8" s="42"/>
      <c r="N8" s="42"/>
      <c r="P8" s="43">
        <f t="shared" si="0"/>
        <v>2</v>
      </c>
      <c r="Q8" s="49">
        <f t="shared" si="1"/>
        <v>2</v>
      </c>
      <c r="U8" s="50">
        <f>SUM(U3:U7)</f>
        <v>1</v>
      </c>
    </row>
    <row r="9" spans="1:21" s="40" customFormat="1" ht="15.6" thickTop="1" thickBot="1" x14ac:dyDescent="0.35">
      <c r="A9" s="34">
        <v>7</v>
      </c>
      <c r="B9" s="35">
        <v>45949</v>
      </c>
      <c r="C9" s="36" t="s">
        <v>44</v>
      </c>
      <c r="D9" s="62">
        <v>4</v>
      </c>
      <c r="E9" s="36" t="s">
        <v>42</v>
      </c>
      <c r="F9" s="62">
        <v>5</v>
      </c>
      <c r="G9" s="37"/>
      <c r="H9" s="38" t="s">
        <v>47</v>
      </c>
      <c r="I9" s="39">
        <v>2</v>
      </c>
      <c r="J9" s="39"/>
      <c r="M9" s="42"/>
      <c r="N9" s="42"/>
      <c r="P9" s="43">
        <f t="shared" si="0"/>
        <v>-1</v>
      </c>
      <c r="Q9" s="49">
        <f t="shared" si="1"/>
        <v>1</v>
      </c>
      <c r="U9" s="50"/>
    </row>
    <row r="10" spans="1:21" s="40" customFormat="1" ht="15.6" thickTop="1" thickBot="1" x14ac:dyDescent="0.35">
      <c r="A10" s="34">
        <v>8</v>
      </c>
      <c r="B10" s="35">
        <v>45956</v>
      </c>
      <c r="C10" s="36" t="s">
        <v>42</v>
      </c>
      <c r="D10" s="62">
        <v>2</v>
      </c>
      <c r="E10" s="36" t="s">
        <v>34</v>
      </c>
      <c r="F10" s="62">
        <v>6</v>
      </c>
      <c r="G10" s="37"/>
      <c r="H10" s="38" t="s">
        <v>52</v>
      </c>
      <c r="I10" s="39">
        <v>4</v>
      </c>
      <c r="J10" s="39"/>
      <c r="M10" s="42"/>
      <c r="N10" s="42"/>
      <c r="P10" s="43">
        <f t="shared" si="0"/>
        <v>-4</v>
      </c>
      <c r="Q10" s="49">
        <f t="shared" si="1"/>
        <v>4</v>
      </c>
      <c r="U10" s="50"/>
    </row>
    <row r="11" spans="1:21" s="40" customFormat="1" ht="15.6" thickTop="1" thickBot="1" x14ac:dyDescent="0.35">
      <c r="A11" s="34">
        <v>9</v>
      </c>
      <c r="B11" s="35">
        <v>45962</v>
      </c>
      <c r="C11" s="36" t="s">
        <v>41</v>
      </c>
      <c r="D11" s="62">
        <v>9</v>
      </c>
      <c r="E11" s="36" t="s">
        <v>42</v>
      </c>
      <c r="F11" s="62">
        <v>3</v>
      </c>
      <c r="G11" s="37"/>
      <c r="H11" s="38" t="s">
        <v>50</v>
      </c>
      <c r="I11" s="39">
        <v>2</v>
      </c>
      <c r="J11" s="39"/>
      <c r="N11" s="42">
        <v>7</v>
      </c>
      <c r="P11" s="43">
        <f t="shared" si="0"/>
        <v>6</v>
      </c>
      <c r="Q11" s="49">
        <f t="shared" si="1"/>
        <v>6</v>
      </c>
      <c r="U11" s="51"/>
    </row>
    <row r="12" spans="1:21" s="40" customFormat="1" ht="15" thickTop="1" x14ac:dyDescent="0.3">
      <c r="A12" s="34">
        <v>10</v>
      </c>
      <c r="B12" s="35">
        <v>45962</v>
      </c>
      <c r="C12" s="36" t="s">
        <v>34</v>
      </c>
      <c r="D12" s="62">
        <v>7</v>
      </c>
      <c r="E12" s="36" t="s">
        <v>43</v>
      </c>
      <c r="F12" s="62">
        <v>2</v>
      </c>
      <c r="G12" s="37"/>
      <c r="H12" s="38" t="s">
        <v>46</v>
      </c>
      <c r="I12" s="39">
        <v>7</v>
      </c>
      <c r="J12" s="39"/>
      <c r="P12" s="43">
        <f t="shared" ref="P12:P18" si="2">D12-F12</f>
        <v>5</v>
      </c>
      <c r="Q12" s="49">
        <f t="shared" ref="Q12:Q18" si="3">ABS(P12)</f>
        <v>5</v>
      </c>
    </row>
    <row r="13" spans="1:21" s="40" customFormat="1" x14ac:dyDescent="0.3">
      <c r="A13" s="34">
        <v>11</v>
      </c>
      <c r="B13" s="35">
        <v>45963</v>
      </c>
      <c r="C13" s="36" t="s">
        <v>43</v>
      </c>
      <c r="D13" s="62">
        <v>5</v>
      </c>
      <c r="E13" s="36" t="s">
        <v>34</v>
      </c>
      <c r="F13" s="62">
        <v>4</v>
      </c>
      <c r="G13" s="37" t="s">
        <v>53</v>
      </c>
      <c r="H13" s="38" t="s">
        <v>54</v>
      </c>
      <c r="I13" s="39">
        <v>4</v>
      </c>
      <c r="J13" s="39"/>
      <c r="P13" s="43">
        <f t="shared" si="2"/>
        <v>1</v>
      </c>
      <c r="Q13" s="49">
        <f t="shared" si="3"/>
        <v>1</v>
      </c>
    </row>
    <row r="14" spans="1:21" s="40" customFormat="1" x14ac:dyDescent="0.3">
      <c r="A14" s="34">
        <v>12</v>
      </c>
      <c r="B14" s="35">
        <v>45968</v>
      </c>
      <c r="C14" s="36" t="s">
        <v>44</v>
      </c>
      <c r="D14" s="62">
        <v>6</v>
      </c>
      <c r="E14" s="36" t="s">
        <v>41</v>
      </c>
      <c r="F14" s="62">
        <v>4</v>
      </c>
      <c r="G14" s="37"/>
      <c r="H14" s="38" t="s">
        <v>62</v>
      </c>
      <c r="I14" s="39">
        <v>3</v>
      </c>
      <c r="J14" s="39"/>
      <c r="P14" s="43">
        <f t="shared" si="2"/>
        <v>2</v>
      </c>
      <c r="Q14" s="49">
        <f t="shared" si="3"/>
        <v>2</v>
      </c>
    </row>
    <row r="15" spans="1:21" s="40" customFormat="1" x14ac:dyDescent="0.3">
      <c r="A15" s="34">
        <v>13</v>
      </c>
      <c r="B15" s="35">
        <v>45970</v>
      </c>
      <c r="C15" s="36" t="s">
        <v>39</v>
      </c>
      <c r="D15" s="62">
        <v>6</v>
      </c>
      <c r="E15" s="36" t="s">
        <v>34</v>
      </c>
      <c r="F15" s="62">
        <v>2</v>
      </c>
      <c r="G15" s="37"/>
      <c r="H15" s="38" t="s">
        <v>63</v>
      </c>
      <c r="I15" s="39">
        <v>4</v>
      </c>
      <c r="J15" s="39"/>
      <c r="P15" s="43">
        <f t="shared" si="2"/>
        <v>4</v>
      </c>
      <c r="Q15" s="49">
        <f t="shared" si="3"/>
        <v>4</v>
      </c>
    </row>
    <row r="16" spans="1:21" s="40" customFormat="1" x14ac:dyDescent="0.3">
      <c r="A16" s="34">
        <v>14</v>
      </c>
      <c r="B16" s="35">
        <v>45975</v>
      </c>
      <c r="C16" s="36" t="s">
        <v>42</v>
      </c>
      <c r="D16" s="62"/>
      <c r="E16" s="36" t="s">
        <v>43</v>
      </c>
      <c r="F16" s="62"/>
      <c r="G16" s="37"/>
      <c r="H16" s="38"/>
      <c r="I16" s="39"/>
      <c r="J16" s="39"/>
      <c r="P16" s="43">
        <f t="shared" si="2"/>
        <v>0</v>
      </c>
      <c r="Q16" s="49">
        <f t="shared" si="3"/>
        <v>0</v>
      </c>
    </row>
    <row r="17" spans="1:17" s="40" customFormat="1" x14ac:dyDescent="0.3">
      <c r="A17" s="34">
        <v>15</v>
      </c>
      <c r="B17" s="35">
        <v>45982</v>
      </c>
      <c r="C17" s="36" t="s">
        <v>42</v>
      </c>
      <c r="D17" s="62"/>
      <c r="E17" s="36" t="s">
        <v>44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3">
      <c r="A18" s="34">
        <v>16</v>
      </c>
      <c r="B18" s="35">
        <v>45983</v>
      </c>
      <c r="C18" s="36" t="s">
        <v>39</v>
      </c>
      <c r="D18" s="62"/>
      <c r="E18" s="36" t="s">
        <v>44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3">
      <c r="A19" s="34">
        <v>4</v>
      </c>
      <c r="B19" s="35">
        <v>45997</v>
      </c>
      <c r="C19" s="36" t="s">
        <v>40</v>
      </c>
      <c r="D19" s="62"/>
      <c r="E19" s="36" t="s">
        <v>42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3">
      <c r="A20" s="34">
        <v>17</v>
      </c>
      <c r="B20" s="35">
        <v>45997</v>
      </c>
      <c r="C20" s="36" t="s">
        <v>39</v>
      </c>
      <c r="D20" s="62"/>
      <c r="E20" s="36" t="s">
        <v>41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18</v>
      </c>
      <c r="B21" s="35">
        <v>45998</v>
      </c>
      <c r="C21" s="36" t="s">
        <v>34</v>
      </c>
      <c r="D21" s="62"/>
      <c r="E21" s="36" t="s">
        <v>41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19</v>
      </c>
      <c r="B22" s="35">
        <v>46047</v>
      </c>
      <c r="C22" s="36" t="s">
        <v>44</v>
      </c>
      <c r="D22" s="62"/>
      <c r="E22" s="36" t="s">
        <v>34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20</v>
      </c>
      <c r="B23" s="35">
        <v>46053</v>
      </c>
      <c r="C23" s="36" t="s">
        <v>42</v>
      </c>
      <c r="D23" s="62"/>
      <c r="E23" s="36" t="s">
        <v>41</v>
      </c>
      <c r="F23" s="62"/>
      <c r="G23" s="37"/>
      <c r="H23" s="38"/>
      <c r="I23" s="39"/>
      <c r="J23" s="39"/>
      <c r="N23" s="40">
        <f>LOOKUP(C24,M1:M5,N1:N5)</f>
        <v>5</v>
      </c>
      <c r="P23" s="43">
        <f t="shared" si="4"/>
        <v>0</v>
      </c>
      <c r="Q23" s="49">
        <f t="shared" si="5"/>
        <v>0</v>
      </c>
    </row>
    <row r="24" spans="1:17" s="40" customFormat="1" x14ac:dyDescent="0.3">
      <c r="A24" s="34">
        <v>21</v>
      </c>
      <c r="B24" s="35">
        <v>46053</v>
      </c>
      <c r="C24" s="36" t="s">
        <v>39</v>
      </c>
      <c r="D24" s="62"/>
      <c r="E24" s="36" t="s">
        <v>43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3">
      <c r="A25" s="34">
        <v>22</v>
      </c>
      <c r="B25" s="35">
        <v>46054</v>
      </c>
      <c r="C25" s="36" t="s">
        <v>42</v>
      </c>
      <c r="D25" s="62"/>
      <c r="E25" s="36" t="s">
        <v>39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3">
      <c r="A26" s="34">
        <v>23</v>
      </c>
      <c r="B26" s="35">
        <v>46054</v>
      </c>
      <c r="C26" s="36" t="s">
        <v>43</v>
      </c>
      <c r="D26" s="62"/>
      <c r="E26" s="36" t="s">
        <v>41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3">
      <c r="A27" s="34">
        <v>24</v>
      </c>
      <c r="B27" s="35">
        <v>46060</v>
      </c>
      <c r="C27" s="36" t="s">
        <v>44</v>
      </c>
      <c r="D27" s="62"/>
      <c r="E27" s="36" t="s">
        <v>39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3">
      <c r="A28" s="34">
        <v>25</v>
      </c>
      <c r="B28" s="35">
        <v>46060</v>
      </c>
      <c r="C28" s="36" t="s">
        <v>43</v>
      </c>
      <c r="D28" s="62"/>
      <c r="E28" s="36" t="s">
        <v>42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3">
      <c r="A29" s="34">
        <v>26</v>
      </c>
      <c r="B29" s="35">
        <v>46066</v>
      </c>
      <c r="C29" s="36" t="s">
        <v>44</v>
      </c>
      <c r="D29" s="62"/>
      <c r="E29" s="36" t="s">
        <v>43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3">
      <c r="A30" s="34">
        <v>27</v>
      </c>
      <c r="B30" s="35">
        <v>46068</v>
      </c>
      <c r="C30" s="36" t="s">
        <v>43</v>
      </c>
      <c r="D30" s="62"/>
      <c r="E30" s="36" t="s">
        <v>44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3">
      <c r="A31" s="34"/>
      <c r="B31" s="35"/>
      <c r="C31" s="36"/>
      <c r="D31" s="62"/>
      <c r="E31" s="36"/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3">
      <c r="A32" s="34"/>
      <c r="B32" s="35"/>
      <c r="C32" s="36"/>
      <c r="D32" s="62"/>
      <c r="E32" s="36"/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3">
      <c r="A33" s="34"/>
      <c r="B33" s="35"/>
      <c r="C33" s="36"/>
      <c r="D33" s="62"/>
      <c r="E33" s="36"/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/>
      <c r="B34" s="35"/>
      <c r="C34" s="36"/>
      <c r="D34" s="62"/>
      <c r="E34" s="36"/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3">
      <c r="A35" s="34"/>
      <c r="B35" s="35"/>
      <c r="C35" s="36"/>
      <c r="D35" s="62"/>
      <c r="E35" s="36"/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3">
      <c r="A36" s="34"/>
      <c r="B36" s="35"/>
      <c r="C36" s="36"/>
      <c r="D36" s="62"/>
      <c r="E36" s="36"/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3">
      <c r="A37" s="34"/>
      <c r="B37" s="35"/>
      <c r="C37" s="36"/>
      <c r="D37" s="62"/>
      <c r="E37" s="36"/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3">
      <c r="A38" s="34"/>
      <c r="B38" s="35"/>
      <c r="C38" s="36"/>
      <c r="D38" s="62"/>
      <c r="E38" s="36"/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3">
      <c r="A39" s="34"/>
      <c r="B39" s="35"/>
      <c r="C39" s="36"/>
      <c r="D39" s="62"/>
      <c r="E39" s="36"/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3">
      <c r="A40" s="34"/>
      <c r="B40" s="35"/>
      <c r="C40" s="36"/>
      <c r="D40" s="62"/>
      <c r="E40" s="36"/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3">
      <c r="A41" s="34"/>
      <c r="B41" s="35"/>
      <c r="C41" s="36"/>
      <c r="D41" s="62"/>
      <c r="E41" s="36"/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3">
      <c r="A42" s="34"/>
      <c r="B42" s="35"/>
      <c r="C42" s="36"/>
      <c r="D42" s="62"/>
      <c r="E42" s="36"/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3">
      <c r="A43" s="34"/>
      <c r="B43" s="35"/>
      <c r="C43" s="36"/>
      <c r="D43" s="62"/>
      <c r="E43" s="36"/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3">
      <c r="A44" s="34"/>
      <c r="B44" s="35"/>
      <c r="C44" s="36"/>
      <c r="D44" s="62"/>
      <c r="E44" s="36"/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" thickBot="1" x14ac:dyDescent="0.35">
      <c r="A45" s="107"/>
      <c r="B45" s="107"/>
      <c r="C45" s="107"/>
      <c r="D45" s="107"/>
      <c r="E45" s="107"/>
      <c r="F45" s="107"/>
      <c r="G45" s="107"/>
      <c r="H45" s="38"/>
      <c r="I45" s="39"/>
      <c r="J45" s="39"/>
    </row>
    <row r="46" spans="1:17" s="40" customFormat="1" x14ac:dyDescent="0.3">
      <c r="A46" s="104" t="s">
        <v>45</v>
      </c>
      <c r="B46" s="105"/>
      <c r="C46" s="105"/>
      <c r="D46" s="105"/>
      <c r="E46" s="105"/>
      <c r="F46" s="105"/>
      <c r="G46" s="106"/>
      <c r="H46" s="38"/>
      <c r="I46" s="39"/>
      <c r="J46" s="39"/>
    </row>
    <row r="47" spans="1:17" s="40" customFormat="1" x14ac:dyDescent="0.3">
      <c r="A47" s="34" t="s">
        <v>55</v>
      </c>
      <c r="B47" s="35">
        <v>46071</v>
      </c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3">
      <c r="A48" s="34" t="s">
        <v>56</v>
      </c>
      <c r="B48" s="35">
        <v>46073</v>
      </c>
      <c r="C48" s="36"/>
      <c r="D48" s="62"/>
      <c r="E48" s="36"/>
      <c r="F48" s="62"/>
      <c r="G48" s="37"/>
      <c r="H48" s="38"/>
      <c r="I48" s="39"/>
      <c r="J48" s="39"/>
    </row>
    <row r="49" spans="1:10" s="40" customFormat="1" x14ac:dyDescent="0.3">
      <c r="A49" s="34" t="s">
        <v>57</v>
      </c>
      <c r="B49" s="35">
        <v>46073</v>
      </c>
      <c r="C49" s="36"/>
      <c r="D49" s="62"/>
      <c r="E49" s="36"/>
      <c r="F49" s="62"/>
      <c r="G49" s="37"/>
      <c r="H49" s="38"/>
      <c r="I49" s="39"/>
      <c r="J49" s="39"/>
    </row>
    <row r="50" spans="1:10" s="40" customFormat="1" x14ac:dyDescent="0.3">
      <c r="A50" s="34" t="s">
        <v>59</v>
      </c>
      <c r="B50" s="35">
        <v>46074</v>
      </c>
      <c r="C50" s="36"/>
      <c r="D50" s="62"/>
      <c r="E50" s="36"/>
      <c r="F50" s="62"/>
      <c r="G50" s="37"/>
      <c r="H50" s="38"/>
      <c r="I50" s="39"/>
      <c r="J50" s="39"/>
    </row>
    <row r="51" spans="1:10" s="40" customFormat="1" x14ac:dyDescent="0.3">
      <c r="A51" s="76" t="s">
        <v>58</v>
      </c>
      <c r="B51" s="77">
        <v>46074</v>
      </c>
      <c r="C51" s="78"/>
      <c r="D51" s="79"/>
      <c r="E51" s="78"/>
      <c r="F51" s="79"/>
      <c r="G51" s="80"/>
      <c r="H51" s="38"/>
      <c r="I51" s="39"/>
      <c r="J51" s="39"/>
    </row>
    <row r="52" spans="1:10" s="40" customFormat="1" ht="15" thickBot="1" x14ac:dyDescent="0.35">
      <c r="A52" s="52" t="s">
        <v>60</v>
      </c>
      <c r="B52" s="53">
        <v>46075</v>
      </c>
      <c r="C52" s="54"/>
      <c r="D52" s="63"/>
      <c r="E52" s="54"/>
      <c r="F52" s="63"/>
      <c r="G52" s="55"/>
      <c r="H52" s="38"/>
      <c r="I52" s="39"/>
      <c r="J52" s="39"/>
    </row>
    <row r="53" spans="1:10" x14ac:dyDescent="0.3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3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3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3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3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3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3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3">
      <c r="A60" s="29"/>
      <c r="B60" s="30"/>
      <c r="C60" s="29"/>
      <c r="D60" s="64"/>
      <c r="E60" s="29"/>
      <c r="F60" s="64"/>
      <c r="G60" s="31"/>
      <c r="H60" s="24"/>
      <c r="I60" s="13"/>
      <c r="J60" s="13"/>
    </row>
    <row r="61" spans="1:10" x14ac:dyDescent="0.3">
      <c r="A61" s="29"/>
      <c r="B61" s="30"/>
      <c r="C61" s="29"/>
      <c r="D61" s="64"/>
      <c r="E61" s="29"/>
      <c r="F61" s="64"/>
      <c r="G61" s="31"/>
      <c r="H61" s="24"/>
      <c r="I61" s="13"/>
      <c r="J61" s="13"/>
    </row>
    <row r="62" spans="1:10" x14ac:dyDescent="0.3">
      <c r="A62" s="29"/>
      <c r="B62" s="30"/>
      <c r="C62" s="29"/>
      <c r="D62" s="64"/>
      <c r="E62" s="29"/>
      <c r="F62" s="64"/>
      <c r="G62" s="31"/>
      <c r="H62" s="24"/>
      <c r="I62" s="13"/>
      <c r="J62" s="13"/>
    </row>
    <row r="63" spans="1:10" x14ac:dyDescent="0.3">
      <c r="A63" s="25"/>
      <c r="B63" s="26"/>
      <c r="C63" s="27"/>
      <c r="D63" s="25"/>
      <c r="E63" s="27"/>
      <c r="F63" s="25"/>
      <c r="G63" s="28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11"/>
      <c r="B73" s="14"/>
      <c r="C73" s="20"/>
      <c r="D73" s="11"/>
      <c r="E73" s="20"/>
      <c r="F73" s="11"/>
      <c r="G73" s="10"/>
      <c r="H73" s="12"/>
      <c r="I73" s="13"/>
      <c r="J73" s="13"/>
    </row>
    <row r="74" spans="1:10" x14ac:dyDescent="0.3">
      <c r="A74" s="11"/>
      <c r="B74" s="14"/>
      <c r="C74" s="20"/>
      <c r="D74" s="11"/>
      <c r="E74" s="20"/>
      <c r="F74" s="11"/>
      <c r="G74" s="10"/>
      <c r="H74" s="12"/>
      <c r="I74" s="13"/>
      <c r="J74" s="13"/>
    </row>
    <row r="75" spans="1:10" x14ac:dyDescent="0.3">
      <c r="A75" s="11"/>
      <c r="B75" s="14"/>
      <c r="C75" s="20"/>
      <c r="D75" s="11"/>
      <c r="E75" s="20"/>
      <c r="F75" s="11"/>
      <c r="G75" s="10"/>
      <c r="H75" s="12"/>
      <c r="I75" s="13"/>
      <c r="J75" s="13"/>
    </row>
    <row r="76" spans="1:10" x14ac:dyDescent="0.3">
      <c r="A76" s="8"/>
      <c r="B76" s="15"/>
      <c r="C76" s="20"/>
      <c r="D76" s="11"/>
      <c r="E76" s="20"/>
      <c r="F76" s="11"/>
      <c r="G76" s="9"/>
      <c r="H76" s="12"/>
      <c r="I76" s="13"/>
      <c r="J76" s="13"/>
    </row>
    <row r="77" spans="1:10" x14ac:dyDescent="0.3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3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3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3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1:10" x14ac:dyDescent="0.3">
      <c r="A81" s="8"/>
      <c r="B81" s="15"/>
      <c r="C81" s="21"/>
      <c r="D81" s="65"/>
      <c r="E81" s="21"/>
      <c r="F81" s="65"/>
      <c r="G81" s="9"/>
      <c r="H81" s="12"/>
      <c r="I81" s="13"/>
      <c r="J81" s="13"/>
    </row>
    <row r="82" spans="1:10" x14ac:dyDescent="0.3">
      <c r="A82" s="8"/>
      <c r="B82" s="15"/>
      <c r="C82" s="21"/>
      <c r="D82" s="65"/>
      <c r="E82" s="21"/>
      <c r="F82" s="65"/>
      <c r="G82" s="9"/>
      <c r="H82" s="12"/>
      <c r="I82" s="13"/>
      <c r="J82" s="13"/>
    </row>
    <row r="83" spans="1:10" x14ac:dyDescent="0.3">
      <c r="A83" s="8"/>
      <c r="B83" s="15"/>
      <c r="C83" s="21"/>
      <c r="D83" s="65"/>
      <c r="E83" s="21"/>
      <c r="F83" s="65"/>
      <c r="G83" s="9"/>
      <c r="H83" s="12"/>
      <c r="I83" s="13"/>
      <c r="J83" s="13"/>
    </row>
    <row r="84" spans="1:10" x14ac:dyDescent="0.3">
      <c r="C84" s="21"/>
      <c r="D84" s="65"/>
      <c r="E84" s="21"/>
      <c r="F84" s="65"/>
    </row>
    <row r="85" spans="1:10" x14ac:dyDescent="0.3">
      <c r="H85">
        <f>D86+F86</f>
        <v>117</v>
      </c>
    </row>
    <row r="86" spans="1:10" x14ac:dyDescent="0.3">
      <c r="D86" s="61">
        <f>SUM(D3:D84)</f>
        <v>65</v>
      </c>
      <c r="F86" s="61">
        <f>SUM(F3:F84)</f>
        <v>52</v>
      </c>
    </row>
  </sheetData>
  <sortState xmlns:xlrd2="http://schemas.microsoft.com/office/spreadsheetml/2017/richdata2" ref="A6:G30">
    <sortCondition ref="B6:B30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52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2025-11-12T23:59:00Z</dcterms:modified>
</cp:coreProperties>
</file>