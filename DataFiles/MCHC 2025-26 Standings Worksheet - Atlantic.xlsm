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3705" documentId="13_ncr:1_{6D847147-14CC-4E2E-9F58-D0DC2A8D343C}" xr6:coauthVersionLast="47" xr6:coauthVersionMax="47" xr10:uidLastSave="{BA3EB9E2-AD82-49F1-A1D9-FE2556E7C512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6" i="2"/>
  <c r="K7" i="2"/>
  <c r="K4" i="2"/>
  <c r="K9" i="2"/>
  <c r="K5" i="2"/>
  <c r="K10" i="2"/>
  <c r="K8" i="2"/>
  <c r="P19" i="1"/>
  <c r="Q19" i="1" s="1"/>
  <c r="O25" i="1"/>
  <c r="N34" i="1"/>
  <c r="P36" i="1"/>
  <c r="Q36" i="1" s="1"/>
  <c r="P33" i="1"/>
  <c r="Q33" i="1" s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34" i="1"/>
  <c r="Q34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8" i="1"/>
  <c r="D78" i="1"/>
  <c r="H13" i="2" a="1"/>
  <c r="H77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<sst xmlns="http://schemas.openxmlformats.org/spreadsheetml/2006/main" count="172" uniqueCount="71">
  <si>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</si>
  <si>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</si>
  <si>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</si>
  <si>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</si>
  <si>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</si>
  <si>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</si>
  <si>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</si>
  <si>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</si>
  <si>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</si>
  <si>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</si>
  <si>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</si>
  <si>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</si>
  <si>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</si>
  <si>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</si>
  <si>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</si>
  <si>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</si>
  <si>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</si>
  <si>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</si>
  <si>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</si>
  <si>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</si>
  <si>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</si>
  <si>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</si>
  <si>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</si>
  <si>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</si>
  <si>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</si>
  <si>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</si>
  <si>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</si>
  <si>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</si>
  <si>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</si>
  <si>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</si>
  <si>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</si>
  <si>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</si>
  <si>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</si>
  <si>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</si>
  <si>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</si>
  <si>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</si>
  <si>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RUTGERS</t>
  </si>
  <si>
    <t>STONY BROOK</t>
  </si>
  <si>
    <t>Stevens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</si>
  <si>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</si>
  <si>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</si>
  <si>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</si>
  <si>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</si>
  <si>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</si>
  <si>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</si>
  <si>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</si>
  <si>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</si>
  <si>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</si>
  <si>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</si>
  <si>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</si>
  <si>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</si>
  <si>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</si>
  <si>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</si>
  <si>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</si>
  <si>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</si>
  <si>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</si>
  <si>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</si>
  <si>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</si>
  <si>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Fairfield (Away) Wins</t>
  </si>
  <si>
    <t>Stevens (Away) Wins</t>
  </si>
  <si>
    <t>Rutgers (Home) Wins</t>
  </si>
  <si>
    <t>PCT.</t>
  </si>
  <si>
    <t>px</t>
  </si>
  <si>
    <t>All Teams Qualify for Playoffs
Placing determined by Win %
6 Game Minimum to Qualify</t>
  </si>
  <si>
    <t>**</t>
  </si>
  <si>
    <t>Stevens in OT/SO</t>
  </si>
  <si>
    <t>Stevens (Home) Wins</t>
  </si>
  <si>
    <t>SJU</t>
  </si>
  <si>
    <t>***</t>
  </si>
  <si>
    <t>SHU ACDC by Forfeit</t>
  </si>
  <si>
    <t>Fairfield by Forfeit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</si>
</sst>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.000;General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0"/>
      <color theme="3" tint="-0.249977111117893"/>
      <name val="Arial"/>
      <family val="2"/>
    </font>
    <font>
      <strike/>
      <sz val="9"/>
      <name val="Arial Rounded MT Bold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0" fillId="0" borderId="13" xfId="0" applyBorder="1" applyAlignment="1">
      <alignment horizontal="center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/>
    </xf>
    <xf numFmtId="165" fontId="28" fillId="2" borderId="19" xfId="0" applyNumberFormat="1" applyFont="1" applyFill="1" applyBorder="1" applyAlignment="1">
      <alignment horizontal="center" vertical="center"/>
    </xf>
    <xf numFmtId="165" fontId="28" fillId="2" borderId="29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164" fontId="29" fillId="0" borderId="3" xfId="0" applyNumberFormat="1" applyFont="1" applyBorder="1" applyAlignment="1">
      <alignment horizontal="center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" style="1" customWidth="1"/>
    <col min="4" max="4" width="3.109375" style="1" customWidth="1"/>
    <col min="5" max="5" width="3.109375" customWidth="1"/>
    <col min="6" max="6" width="2.6640625" customWidth="1"/>
    <col min="7" max="7" width="3.109375" bestFit="1" customWidth="1"/>
    <col min="8" max="8" width="3.44140625" bestFit="1" customWidth="1"/>
    <col min="9" max="10" width="4" bestFit="1" customWidth="1"/>
    <col min="11" max="11" width="5.44140625" bestFit="1" customWidth="1"/>
  </cols>
  <sheetData>
    <row r="1" spans="1:16" x14ac:dyDescent="0.3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>
        <v>38</v>
      </c>
      <c r="L1">
        <f>SUM(C1:K1)</f>
        <v>280</v>
      </c>
      <c r="M1" t="s">
        <v>62</v>
      </c>
    </row>
    <row r="2" spans="1:16" s="2" customFormat="1" ht="12" customHeight="1" thickBot="1" x14ac:dyDescent="0.35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</row>
    <row r="3" spans="1:16" ht="18" x14ac:dyDescent="0.3">
      <c r="A3" s="103"/>
      <c r="B3" s="63"/>
      <c r="C3" s="80" t="s">
        <v>2</v>
      </c>
      <c r="D3" s="81" t="s">
        <v>21</v>
      </c>
      <c r="E3" s="81" t="s">
        <v>19</v>
      </c>
      <c r="F3" s="81" t="s">
        <v>20</v>
      </c>
      <c r="G3" s="81" t="s">
        <v>29</v>
      </c>
      <c r="H3" s="81" t="s">
        <v>30</v>
      </c>
      <c r="I3" s="81" t="s">
        <v>3</v>
      </c>
      <c r="J3" s="81" t="s">
        <v>4</v>
      </c>
      <c r="K3" s="82" t="s">
        <v>61</v>
      </c>
      <c r="M3" s="98" t="s">
        <v>10</v>
      </c>
      <c r="N3" s="99"/>
      <c r="O3" s="99"/>
      <c r="P3" s="99"/>
    </row>
    <row r="4" spans="1:16" ht="18" customHeight="1" x14ac:dyDescent="0.3">
      <c r="A4" s="103"/>
      <c r="B4" s="57">
        <v>1</v>
      </c>
      <c r="C4" s="83" t="s">
        <v>42</v>
      </c>
      <c r="D4" s="79">
        <v>11</v>
      </c>
      <c r="E4" s="79">
        <v>9</v>
      </c>
      <c r="F4" s="79">
        <v>2</v>
      </c>
      <c r="G4" s="79">
        <v>0</v>
      </c>
      <c r="H4" s="79">
        <v>18</v>
      </c>
      <c r="I4" s="79">
        <v>68</v>
      </c>
      <c r="J4" s="79">
        <v>36</v>
      </c>
      <c r="K4" s="86">
        <f t="shared" ref="K4:K10" si="0">E4/D4</f>
        <v>0.81818181818181823</v>
      </c>
      <c r="M4" s="4">
        <v>1</v>
      </c>
      <c r="N4" t="s">
        <v>11</v>
      </c>
    </row>
    <row r="5" spans="1:16" ht="18" customHeight="1" x14ac:dyDescent="0.3">
      <c r="A5" s="103"/>
      <c r="B5" s="57">
        <v>2</v>
      </c>
      <c r="C5" s="84" t="s">
        <v>39</v>
      </c>
      <c r="D5" s="23">
        <v>10</v>
      </c>
      <c r="E5" s="23">
        <v>8</v>
      </c>
      <c r="F5" s="23">
        <v>2</v>
      </c>
      <c r="G5" s="23">
        <v>0</v>
      </c>
      <c r="H5" s="23">
        <v>16</v>
      </c>
      <c r="I5" s="23">
        <v>69</v>
      </c>
      <c r="J5" s="23">
        <v>35</v>
      </c>
      <c r="K5" s="87">
        <f t="shared" si="0"/>
        <v>0.8</v>
      </c>
      <c r="M5" s="4">
        <v>2</v>
      </c>
      <c r="N5" t="s">
        <v>12</v>
      </c>
    </row>
    <row r="6" spans="1:16" ht="18" customHeight="1" x14ac:dyDescent="0.3">
      <c r="A6" s="103"/>
      <c r="B6" s="57">
        <v>3</v>
      </c>
      <c r="C6" s="84" t="s">
        <v>40</v>
      </c>
      <c r="D6" s="23">
        <v>13</v>
      </c>
      <c r="E6" s="23">
        <v>7</v>
      </c>
      <c r="F6" s="23">
        <v>6</v>
      </c>
      <c r="G6" s="23">
        <v>0</v>
      </c>
      <c r="H6" s="23">
        <v>14</v>
      </c>
      <c r="I6" s="23">
        <v>57</v>
      </c>
      <c r="J6" s="23">
        <v>67</v>
      </c>
      <c r="K6" s="87">
        <f t="shared" si="0"/>
        <v>0.53846153846153844</v>
      </c>
      <c r="M6" s="4">
        <v>3</v>
      </c>
      <c r="N6" t="s">
        <v>13</v>
      </c>
    </row>
    <row r="7" spans="1:16" ht="18" customHeight="1" x14ac:dyDescent="0.3">
      <c r="A7" s="103"/>
      <c r="B7" s="57">
        <v>4</v>
      </c>
      <c r="C7" s="84" t="s">
        <v>34</v>
      </c>
      <c r="D7" s="23">
        <v>10</v>
      </c>
      <c r="E7" s="23">
        <v>4</v>
      </c>
      <c r="F7" s="23">
        <v>5</v>
      </c>
      <c r="G7" s="23">
        <v>1</v>
      </c>
      <c r="H7" s="23">
        <v>9</v>
      </c>
      <c r="I7" s="23">
        <v>45</v>
      </c>
      <c r="J7" s="23">
        <v>44</v>
      </c>
      <c r="K7" s="87">
        <f t="shared" si="0"/>
        <v>0.4</v>
      </c>
      <c r="M7" s="4">
        <v>4</v>
      </c>
      <c r="N7" t="s">
        <v>15</v>
      </c>
    </row>
    <row r="8" spans="1:16" ht="18" customHeight="1" x14ac:dyDescent="0.3">
      <c r="A8" s="103"/>
      <c r="B8" s="57">
        <v>5</v>
      </c>
      <c r="C8" s="84" t="s">
        <v>41</v>
      </c>
      <c r="D8" s="23">
        <v>9</v>
      </c>
      <c r="E8" s="23">
        <v>3</v>
      </c>
      <c r="F8" s="23">
        <v>5</v>
      </c>
      <c r="G8" s="23">
        <v>1</v>
      </c>
      <c r="H8" s="23">
        <v>7</v>
      </c>
      <c r="I8" s="23">
        <v>34</v>
      </c>
      <c r="J8" s="23">
        <v>42</v>
      </c>
      <c r="K8" s="87">
        <f t="shared" si="0"/>
        <v>0.33333333333333331</v>
      </c>
      <c r="M8" s="4">
        <v>5</v>
      </c>
      <c r="N8" t="s">
        <v>17</v>
      </c>
    </row>
    <row r="9" spans="1:16" ht="18" customHeight="1" x14ac:dyDescent="0.3">
      <c r="A9" s="103"/>
      <c r="B9" s="57">
        <v>6</v>
      </c>
      <c r="C9" s="84" t="s">
        <v>38</v>
      </c>
      <c r="D9" s="23">
        <v>9</v>
      </c>
      <c r="E9" s="23">
        <v>3</v>
      </c>
      <c r="F9" s="23">
        <v>6</v>
      </c>
      <c r="G9" s="23">
        <v>0</v>
      </c>
      <c r="H9" s="23">
        <v>6</v>
      </c>
      <c r="I9" s="23">
        <v>27</v>
      </c>
      <c r="J9" s="23">
        <v>56</v>
      </c>
      <c r="K9" s="87">
        <f t="shared" si="0"/>
        <v>0.33333333333333331</v>
      </c>
    </row>
    <row r="10" spans="1:16" ht="18" customHeight="1" thickBot="1" x14ac:dyDescent="0.35">
      <c r="A10" s="103"/>
      <c r="B10" s="57">
        <v>7</v>
      </c>
      <c r="C10" s="84" t="s">
        <v>67</v>
      </c>
      <c r="D10" s="23">
        <v>6</v>
      </c>
      <c r="E10" s="23">
        <v>0</v>
      </c>
      <c r="F10" s="23">
        <v>6</v>
      </c>
      <c r="G10" s="23">
        <v>0</v>
      </c>
      <c r="H10" s="23">
        <v>0</v>
      </c>
      <c r="I10" s="23">
        <v>12</v>
      </c>
      <c r="J10" s="23">
        <v>32</v>
      </c>
      <c r="K10" s="87">
        <f t="shared" si="0"/>
        <v>0</v>
      </c>
      <c r="M10" t="s">
        <v>14</v>
      </c>
    </row>
    <row r="11" spans="1:16" ht="18" hidden="1" customHeight="1" thickBot="1" x14ac:dyDescent="0.35">
      <c r="A11" s="103"/>
      <c r="B11" s="57"/>
      <c r="C11" s="104"/>
      <c r="D11" s="105"/>
      <c r="E11" s="105"/>
      <c r="F11" s="105"/>
      <c r="G11" s="105"/>
      <c r="H11" s="105"/>
      <c r="I11" s="105"/>
      <c r="J11" s="105"/>
      <c r="K11" s="78"/>
    </row>
    <row r="12" spans="1:16" ht="16.8" thickTop="1" thickBot="1" x14ac:dyDescent="0.35">
      <c r="A12" s="103"/>
      <c r="B12" s="57"/>
      <c r="C12" s="76"/>
      <c r="D12" s="77"/>
      <c r="E12" s="77"/>
      <c r="F12" s="77"/>
      <c r="G12" s="77"/>
      <c r="H12" s="77"/>
      <c r="I12" s="77"/>
      <c r="J12" s="77"/>
      <c r="K12" s="85"/>
      <c r="M12" s="100" t="s">
        <v>16</v>
      </c>
      <c r="N12" s="100"/>
      <c r="O12" s="100"/>
      <c r="P12" s="5">
        <v>33</v>
      </c>
    </row>
    <row r="13" spans="1:16" ht="15.6" x14ac:dyDescent="0.3">
      <c r="A13" s="1"/>
      <c r="B13" s="56"/>
      <c r="C13" s="109" t="s">
        <v>31</v>
      </c>
      <c r="D13" s="110"/>
      <c r="E13" s="110"/>
      <c r="F13" s="110"/>
      <c r="G13" s="110"/>
      <c r="H13" s="111" cm="1">
        <f t="array" aca="1" ref="H13" ca="1">LastModified()</f>
        <v>46070.451956018522</v>
      </c>
      <c r="I13" s="111"/>
      <c r="J13" s="111"/>
      <c r="K13" s="112"/>
      <c r="M13" s="32"/>
      <c r="N13" s="32"/>
      <c r="O13" s="32"/>
    </row>
    <row r="14" spans="1:16" ht="52.95" customHeight="1" thickBot="1" x14ac:dyDescent="0.35">
      <c r="B14" s="33"/>
      <c r="C14" s="106" t="s">
        <v>63</v>
      </c>
      <c r="D14" s="107"/>
      <c r="E14" s="107"/>
      <c r="F14" s="107"/>
      <c r="G14" s="107"/>
      <c r="H14" s="107"/>
      <c r="I14" s="107"/>
      <c r="J14" s="107"/>
      <c r="K14" s="108"/>
    </row>
    <row r="15" spans="1:16" x14ac:dyDescent="0.3">
      <c r="G15" s="101" t="s">
        <v>18</v>
      </c>
      <c r="H15" s="101"/>
      <c r="I15" s="7">
        <f>SUM(I4:I12)</f>
        <v>312</v>
      </c>
      <c r="J15" s="7">
        <f>SUM(J4:J12)</f>
        <v>312</v>
      </c>
    </row>
  </sheetData>
  <sortState xmlns:xlrd2="http://schemas.microsoft.com/office/spreadsheetml/2017/richdata2" ref="C4:K10">
    <sortCondition descending="1" ref="K4:K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C11:J11"/>
    <mergeCell ref="C14:K14"/>
    <mergeCell ref="C13:G13"/>
    <mergeCell ref="H13:K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K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8"/>
  <sheetViews>
    <sheetView tabSelected="1" topLeftCell="A22" zoomScaleNormal="100" workbookViewId="0">
      <selection activeCell="H46" sqref="H46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21875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90" t="s">
        <v>26</v>
      </c>
      <c r="S1" s="91"/>
      <c r="T1" s="68">
        <f>MAX(A:A)</f>
        <v>34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33</v>
      </c>
      <c r="N2" s="6">
        <v>2</v>
      </c>
      <c r="P2" s="17" t="s">
        <v>22</v>
      </c>
      <c r="Q2" s="18" t="s">
        <v>23</v>
      </c>
      <c r="R2" s="92" t="s">
        <v>27</v>
      </c>
      <c r="S2" s="93"/>
      <c r="T2" s="69">
        <f>SUM(T3:T7)</f>
        <v>34</v>
      </c>
      <c r="U2" s="70"/>
    </row>
    <row r="3" spans="1:21" s="40" customFormat="1" ht="15.6" thickTop="1" thickBot="1" x14ac:dyDescent="0.35">
      <c r="A3" s="34">
        <v>1</v>
      </c>
      <c r="B3" s="35">
        <v>45928</v>
      </c>
      <c r="C3" s="36" t="s">
        <v>34</v>
      </c>
      <c r="D3" s="59">
        <v>9</v>
      </c>
      <c r="E3" s="36" t="s">
        <v>38</v>
      </c>
      <c r="F3" s="59">
        <v>4</v>
      </c>
      <c r="G3" s="37"/>
      <c r="H3" s="38" t="s">
        <v>44</v>
      </c>
      <c r="I3" s="39">
        <v>6</v>
      </c>
      <c r="J3" s="39"/>
      <c r="M3" s="41" t="s">
        <v>36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COUNTIF($Q$3:$Q$36,R3)</f>
        <v>7</v>
      </c>
      <c r="U3" s="45">
        <f>IF($T$2&gt;0, T3/$T$2, 0)</f>
        <v>0.20588235294117646</v>
      </c>
    </row>
    <row r="4" spans="1:21" s="40" customFormat="1" ht="15.6" thickTop="1" thickBot="1" x14ac:dyDescent="0.35">
      <c r="A4" s="34">
        <v>32</v>
      </c>
      <c r="B4" s="35">
        <v>45933</v>
      </c>
      <c r="C4" s="36" t="s">
        <v>67</v>
      </c>
      <c r="D4" s="59">
        <v>4</v>
      </c>
      <c r="E4" s="36" t="s">
        <v>40</v>
      </c>
      <c r="F4" s="59">
        <v>6</v>
      </c>
      <c r="G4" s="37"/>
      <c r="H4" s="38" t="s">
        <v>45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-2</v>
      </c>
      <c r="Q4" s="40">
        <f t="shared" ref="Q4:Q11" si="1">ABS(P4)</f>
        <v>2</v>
      </c>
      <c r="R4" s="44">
        <v>2</v>
      </c>
      <c r="S4" s="40" t="s">
        <v>25</v>
      </c>
      <c r="T4" s="40">
        <f>COUNTIF($Q$3:$Q$36,R4)</f>
        <v>6</v>
      </c>
      <c r="U4" s="45">
        <f>IF($T$2&gt;0, T4/$T$2, 0)</f>
        <v>0.17647058823529413</v>
      </c>
    </row>
    <row r="5" spans="1:21" s="40" customFormat="1" ht="15.6" thickTop="1" thickBot="1" x14ac:dyDescent="0.35">
      <c r="A5" s="34">
        <v>2</v>
      </c>
      <c r="B5" s="35">
        <v>45935</v>
      </c>
      <c r="C5" s="36" t="s">
        <v>38</v>
      </c>
      <c r="D5" s="59">
        <v>0</v>
      </c>
      <c r="E5" s="36" t="s">
        <v>40</v>
      </c>
      <c r="F5" s="59">
        <v>4</v>
      </c>
      <c r="G5" s="37"/>
      <c r="H5" s="38" t="s">
        <v>45</v>
      </c>
      <c r="I5" s="39">
        <v>2</v>
      </c>
      <c r="J5" s="39"/>
      <c r="M5" s="42" t="s">
        <v>67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COUNTIF($Q$3:$Q$36,R5)</f>
        <v>5</v>
      </c>
      <c r="U5" s="45">
        <f>IF($T$2&gt;0, T5/$T$2, 0)</f>
        <v>0.14705882352941177</v>
      </c>
    </row>
    <row r="6" spans="1:21" s="40" customFormat="1" ht="15.6" thickTop="1" thickBot="1" x14ac:dyDescent="0.35">
      <c r="A6" s="34">
        <v>3</v>
      </c>
      <c r="B6" s="35">
        <v>45935</v>
      </c>
      <c r="C6" s="36" t="s">
        <v>34</v>
      </c>
      <c r="D6" s="59">
        <v>1</v>
      </c>
      <c r="E6" s="36" t="s">
        <v>42</v>
      </c>
      <c r="F6" s="59">
        <v>5</v>
      </c>
      <c r="G6" s="37"/>
      <c r="H6" s="38" t="s">
        <v>46</v>
      </c>
      <c r="I6" s="39">
        <v>1</v>
      </c>
      <c r="J6" s="39"/>
      <c r="M6" s="42" t="s">
        <v>35</v>
      </c>
      <c r="N6" s="42">
        <v>6</v>
      </c>
      <c r="P6" s="43">
        <f t="shared" si="0"/>
        <v>-4</v>
      </c>
      <c r="Q6" s="40">
        <f t="shared" si="1"/>
        <v>4</v>
      </c>
      <c r="R6" s="44">
        <v>4</v>
      </c>
      <c r="S6" s="40" t="s">
        <v>25</v>
      </c>
      <c r="T6" s="40">
        <f>COUNTIF($Q$3:$Q$36,R6)</f>
        <v>6</v>
      </c>
      <c r="U6" s="45">
        <f>IF($T$2&gt;0, T6/$T$2, 0)</f>
        <v>0.17647058823529413</v>
      </c>
    </row>
    <row r="7" spans="1:21" s="40" customFormat="1" ht="15.6" thickTop="1" thickBot="1" x14ac:dyDescent="0.35">
      <c r="A7" s="34">
        <v>5</v>
      </c>
      <c r="B7" s="35">
        <v>45947</v>
      </c>
      <c r="C7" s="36" t="s">
        <v>39</v>
      </c>
      <c r="D7" s="59">
        <v>4</v>
      </c>
      <c r="E7" s="36" t="s">
        <v>41</v>
      </c>
      <c r="F7" s="59">
        <v>7</v>
      </c>
      <c r="G7" s="37"/>
      <c r="H7" s="38" t="s">
        <v>47</v>
      </c>
      <c r="I7" s="39">
        <v>7</v>
      </c>
      <c r="J7" s="39"/>
      <c r="M7" s="42" t="s">
        <v>37</v>
      </c>
      <c r="N7" s="42">
        <v>7</v>
      </c>
      <c r="P7" s="43">
        <f t="shared" si="0"/>
        <v>-3</v>
      </c>
      <c r="Q7" s="40">
        <f t="shared" si="1"/>
        <v>3</v>
      </c>
      <c r="R7" s="46" t="s">
        <v>24</v>
      </c>
      <c r="S7" s="47" t="s">
        <v>25</v>
      </c>
      <c r="T7" s="47">
        <f>COUNTIF($Q$3:$Q$36,"&gt;=5")</f>
        <v>10</v>
      </c>
      <c r="U7" s="48">
        <f>IF($T$2&gt;0, T7/$T$2, 0)</f>
        <v>0.29411764705882354</v>
      </c>
    </row>
    <row r="8" spans="1:21" s="40" customFormat="1" ht="15.6" thickTop="1" thickBot="1" x14ac:dyDescent="0.35">
      <c r="A8" s="34">
        <v>6</v>
      </c>
      <c r="B8" s="35">
        <v>45948</v>
      </c>
      <c r="C8" s="36" t="s">
        <v>39</v>
      </c>
      <c r="D8" s="59">
        <v>8</v>
      </c>
      <c r="E8" s="36" t="s">
        <v>42</v>
      </c>
      <c r="F8" s="59">
        <v>4</v>
      </c>
      <c r="G8" s="37"/>
      <c r="H8" s="38" t="s">
        <v>48</v>
      </c>
      <c r="I8" s="39">
        <v>1</v>
      </c>
      <c r="J8" s="39"/>
      <c r="M8" s="42"/>
      <c r="N8" s="42"/>
      <c r="P8" s="43">
        <f t="shared" si="0"/>
        <v>4</v>
      </c>
      <c r="Q8" s="49">
        <f t="shared" si="1"/>
        <v>4</v>
      </c>
      <c r="U8" s="50">
        <f>SUM(U3:U7)</f>
        <v>1</v>
      </c>
    </row>
    <row r="9" spans="1:21" s="40" customFormat="1" ht="15.6" thickTop="1" thickBot="1" x14ac:dyDescent="0.35">
      <c r="A9" s="34">
        <v>28</v>
      </c>
      <c r="B9" s="35">
        <v>45948</v>
      </c>
      <c r="C9" s="36" t="s">
        <v>40</v>
      </c>
      <c r="D9" s="59">
        <v>4</v>
      </c>
      <c r="E9" s="36" t="s">
        <v>67</v>
      </c>
      <c r="F9" s="59">
        <v>2</v>
      </c>
      <c r="G9" s="37"/>
      <c r="H9" s="38" t="s">
        <v>49</v>
      </c>
      <c r="I9" s="39">
        <v>5</v>
      </c>
      <c r="J9" s="39"/>
      <c r="M9" s="42"/>
      <c r="N9" s="42"/>
      <c r="P9" s="43">
        <f t="shared" si="0"/>
        <v>2</v>
      </c>
      <c r="Q9" s="49">
        <f t="shared" si="1"/>
        <v>2</v>
      </c>
      <c r="U9" s="50"/>
    </row>
    <row r="10" spans="1:21" s="40" customFormat="1" ht="15.6" thickTop="1" thickBot="1" x14ac:dyDescent="0.35">
      <c r="A10" s="34">
        <v>7</v>
      </c>
      <c r="B10" s="35">
        <v>45949</v>
      </c>
      <c r="C10" s="36" t="s">
        <v>42</v>
      </c>
      <c r="D10" s="59">
        <v>4</v>
      </c>
      <c r="E10" s="36" t="s">
        <v>40</v>
      </c>
      <c r="F10" s="59">
        <v>5</v>
      </c>
      <c r="G10" s="37"/>
      <c r="H10" s="38" t="s">
        <v>45</v>
      </c>
      <c r="I10" s="39">
        <v>2</v>
      </c>
      <c r="J10" s="39"/>
      <c r="M10" s="42"/>
      <c r="N10" s="42"/>
      <c r="P10" s="43">
        <f t="shared" si="0"/>
        <v>-1</v>
      </c>
      <c r="Q10" s="49">
        <f t="shared" si="1"/>
        <v>1</v>
      </c>
      <c r="U10" s="50"/>
    </row>
    <row r="11" spans="1:21" s="40" customFormat="1" ht="15.6" thickTop="1" thickBot="1" x14ac:dyDescent="0.35">
      <c r="A11" s="34">
        <v>8</v>
      </c>
      <c r="B11" s="35">
        <v>45956</v>
      </c>
      <c r="C11" s="36" t="s">
        <v>40</v>
      </c>
      <c r="D11" s="59">
        <v>2</v>
      </c>
      <c r="E11" s="36" t="s">
        <v>34</v>
      </c>
      <c r="F11" s="59">
        <v>6</v>
      </c>
      <c r="G11" s="37"/>
      <c r="H11" s="38" t="s">
        <v>50</v>
      </c>
      <c r="I11" s="39">
        <v>4</v>
      </c>
      <c r="J11" s="39"/>
      <c r="N11" s="42">
        <v>7</v>
      </c>
      <c r="P11" s="43">
        <f t="shared" si="0"/>
        <v>-4</v>
      </c>
      <c r="Q11" s="49">
        <f t="shared" si="1"/>
        <v>4</v>
      </c>
      <c r="U11" s="51"/>
    </row>
    <row r="12" spans="1:21" s="40" customFormat="1" ht="15" thickTop="1" x14ac:dyDescent="0.3">
      <c r="A12" s="34">
        <v>9</v>
      </c>
      <c r="B12" s="35">
        <v>45962</v>
      </c>
      <c r="C12" s="36" t="s">
        <v>39</v>
      </c>
      <c r="D12" s="59">
        <v>9</v>
      </c>
      <c r="E12" s="36" t="s">
        <v>40</v>
      </c>
      <c r="F12" s="59">
        <v>3</v>
      </c>
      <c r="G12" s="37"/>
      <c r="H12" s="38" t="s">
        <v>48</v>
      </c>
      <c r="I12" s="39">
        <v>2</v>
      </c>
      <c r="J12" s="39"/>
      <c r="P12" s="43">
        <f t="shared" ref="P12:P16" si="2">D12-F12</f>
        <v>6</v>
      </c>
      <c r="Q12" s="49">
        <f t="shared" ref="Q12:Q16" si="3">ABS(P12)</f>
        <v>6</v>
      </c>
    </row>
    <row r="13" spans="1:21" s="40" customFormat="1" x14ac:dyDescent="0.3">
      <c r="A13" s="34">
        <v>10</v>
      </c>
      <c r="B13" s="35">
        <v>45962</v>
      </c>
      <c r="C13" s="36" t="s">
        <v>34</v>
      </c>
      <c r="D13" s="59">
        <v>7</v>
      </c>
      <c r="E13" s="36" t="s">
        <v>41</v>
      </c>
      <c r="F13" s="59">
        <v>2</v>
      </c>
      <c r="G13" s="37"/>
      <c r="H13" s="38" t="s">
        <v>44</v>
      </c>
      <c r="I13" s="39">
        <v>7</v>
      </c>
      <c r="J13" s="39"/>
      <c r="P13" s="43">
        <f t="shared" si="2"/>
        <v>5</v>
      </c>
      <c r="Q13" s="49">
        <f t="shared" si="3"/>
        <v>5</v>
      </c>
    </row>
    <row r="14" spans="1:21" s="40" customFormat="1" x14ac:dyDescent="0.3">
      <c r="A14" s="34">
        <v>11</v>
      </c>
      <c r="B14" s="35">
        <v>45963</v>
      </c>
      <c r="C14" s="36" t="s">
        <v>41</v>
      </c>
      <c r="D14" s="59">
        <v>5</v>
      </c>
      <c r="E14" s="36" t="s">
        <v>34</v>
      </c>
      <c r="F14" s="59">
        <v>4</v>
      </c>
      <c r="G14" s="37" t="s">
        <v>51</v>
      </c>
      <c r="H14" s="38" t="s">
        <v>52</v>
      </c>
      <c r="I14" s="39">
        <v>4</v>
      </c>
      <c r="J14" s="39"/>
      <c r="P14" s="43">
        <f t="shared" si="2"/>
        <v>1</v>
      </c>
      <c r="Q14" s="49">
        <f t="shared" si="3"/>
        <v>1</v>
      </c>
    </row>
    <row r="15" spans="1:21" s="40" customFormat="1" x14ac:dyDescent="0.3">
      <c r="A15" s="34">
        <v>12</v>
      </c>
      <c r="B15" s="35">
        <v>45968</v>
      </c>
      <c r="C15" s="36" t="s">
        <v>42</v>
      </c>
      <c r="D15" s="59">
        <v>6</v>
      </c>
      <c r="E15" s="36" t="s">
        <v>39</v>
      </c>
      <c r="F15" s="59">
        <v>4</v>
      </c>
      <c r="G15" s="37"/>
      <c r="H15" s="38" t="s">
        <v>58</v>
      </c>
      <c r="I15" s="39">
        <v>3</v>
      </c>
      <c r="J15" s="39"/>
      <c r="P15" s="43">
        <f t="shared" si="2"/>
        <v>2</v>
      </c>
      <c r="Q15" s="49">
        <f t="shared" si="3"/>
        <v>2</v>
      </c>
    </row>
    <row r="16" spans="1:21" s="40" customFormat="1" x14ac:dyDescent="0.3">
      <c r="A16" s="34">
        <v>13</v>
      </c>
      <c r="B16" s="35">
        <v>45970</v>
      </c>
      <c r="C16" s="36" t="s">
        <v>38</v>
      </c>
      <c r="D16" s="59">
        <v>6</v>
      </c>
      <c r="E16" s="36" t="s">
        <v>34</v>
      </c>
      <c r="F16" s="59">
        <v>2</v>
      </c>
      <c r="G16" s="37"/>
      <c r="H16" s="38" t="s">
        <v>59</v>
      </c>
      <c r="I16" s="39">
        <v>4</v>
      </c>
      <c r="J16" s="39"/>
      <c r="P16" s="43">
        <f t="shared" si="2"/>
        <v>4</v>
      </c>
      <c r="Q16" s="49">
        <f t="shared" si="3"/>
        <v>4</v>
      </c>
    </row>
    <row r="17" spans="1:17" s="40" customFormat="1" x14ac:dyDescent="0.3">
      <c r="A17" s="34">
        <v>14</v>
      </c>
      <c r="B17" s="35">
        <v>45975</v>
      </c>
      <c r="C17" s="36" t="s">
        <v>40</v>
      </c>
      <c r="D17" s="59">
        <v>4</v>
      </c>
      <c r="E17" s="36" t="s">
        <v>41</v>
      </c>
      <c r="F17" s="59">
        <v>7</v>
      </c>
      <c r="G17" s="37"/>
      <c r="H17" s="38" t="s">
        <v>47</v>
      </c>
      <c r="I17" s="39">
        <v>7</v>
      </c>
      <c r="J17" s="39"/>
      <c r="P17" s="43">
        <f t="shared" ref="P17:P22" si="4">D17-F17</f>
        <v>-3</v>
      </c>
      <c r="Q17" s="49">
        <f t="shared" ref="Q17:Q22" si="5">ABS(P17)</f>
        <v>3</v>
      </c>
    </row>
    <row r="18" spans="1:17" s="40" customFormat="1" x14ac:dyDescent="0.3">
      <c r="A18" s="34">
        <v>15</v>
      </c>
      <c r="B18" s="35">
        <v>45982</v>
      </c>
      <c r="C18" s="36" t="s">
        <v>40</v>
      </c>
      <c r="D18" s="59">
        <v>3</v>
      </c>
      <c r="E18" s="36" t="s">
        <v>42</v>
      </c>
      <c r="F18" s="59">
        <v>10</v>
      </c>
      <c r="G18" s="37"/>
      <c r="H18" s="38" t="s">
        <v>46</v>
      </c>
      <c r="I18" s="39">
        <v>1</v>
      </c>
      <c r="J18" s="39"/>
      <c r="P18" s="43">
        <f t="shared" si="4"/>
        <v>-7</v>
      </c>
      <c r="Q18" s="49">
        <f t="shared" si="5"/>
        <v>7</v>
      </c>
    </row>
    <row r="19" spans="1:17" s="40" customFormat="1" x14ac:dyDescent="0.3">
      <c r="A19" s="34">
        <v>16</v>
      </c>
      <c r="B19" s="35">
        <v>45983</v>
      </c>
      <c r="C19" s="36" t="s">
        <v>38</v>
      </c>
      <c r="D19" s="59">
        <v>3</v>
      </c>
      <c r="E19" s="36" t="s">
        <v>42</v>
      </c>
      <c r="F19" s="59">
        <v>12</v>
      </c>
      <c r="G19" s="37"/>
      <c r="H19" s="38" t="s">
        <v>46</v>
      </c>
      <c r="I19" s="39">
        <v>1</v>
      </c>
      <c r="J19" s="39"/>
      <c r="P19" s="43">
        <f t="shared" si="4"/>
        <v>-9</v>
      </c>
      <c r="Q19" s="49">
        <f t="shared" si="5"/>
        <v>9</v>
      </c>
    </row>
    <row r="20" spans="1:17" s="40" customFormat="1" x14ac:dyDescent="0.3">
      <c r="A20" s="34">
        <v>29</v>
      </c>
      <c r="B20" s="35">
        <v>45983</v>
      </c>
      <c r="C20" s="36" t="s">
        <v>34</v>
      </c>
      <c r="D20" s="59">
        <v>5</v>
      </c>
      <c r="E20" s="36" t="s">
        <v>40</v>
      </c>
      <c r="F20" s="59">
        <v>6</v>
      </c>
      <c r="G20" s="37"/>
      <c r="H20" s="38" t="s">
        <v>45</v>
      </c>
      <c r="I20" s="39">
        <v>2</v>
      </c>
      <c r="J20" s="39"/>
      <c r="P20" s="43">
        <f t="shared" si="4"/>
        <v>-1</v>
      </c>
      <c r="Q20" s="49">
        <f t="shared" si="5"/>
        <v>1</v>
      </c>
    </row>
    <row r="21" spans="1:17" s="40" customFormat="1" x14ac:dyDescent="0.3">
      <c r="A21" s="34">
        <v>4</v>
      </c>
      <c r="B21" s="35">
        <v>45997</v>
      </c>
      <c r="C21" s="36" t="s">
        <v>67</v>
      </c>
      <c r="D21" s="59">
        <v>3</v>
      </c>
      <c r="E21" s="36" t="s">
        <v>40</v>
      </c>
      <c r="F21" s="59">
        <v>9</v>
      </c>
      <c r="G21" s="37"/>
      <c r="H21" s="38" t="s">
        <v>45</v>
      </c>
      <c r="I21" s="39">
        <v>2</v>
      </c>
      <c r="J21" s="39"/>
      <c r="P21" s="43">
        <f t="shared" si="4"/>
        <v>-6</v>
      </c>
      <c r="Q21" s="49">
        <f t="shared" si="5"/>
        <v>6</v>
      </c>
    </row>
    <row r="22" spans="1:17" s="40" customFormat="1" x14ac:dyDescent="0.3">
      <c r="A22" s="34">
        <v>17</v>
      </c>
      <c r="B22" s="35">
        <v>45997</v>
      </c>
      <c r="C22" s="36" t="s">
        <v>38</v>
      </c>
      <c r="D22" s="59">
        <v>2</v>
      </c>
      <c r="E22" s="36" t="s">
        <v>39</v>
      </c>
      <c r="F22" s="59">
        <v>10</v>
      </c>
      <c r="G22" s="37"/>
      <c r="H22" s="38" t="s">
        <v>60</v>
      </c>
      <c r="I22" s="39">
        <v>3</v>
      </c>
      <c r="J22" s="39"/>
      <c r="P22" s="43">
        <f t="shared" si="4"/>
        <v>-8</v>
      </c>
      <c r="Q22" s="49">
        <f t="shared" si="5"/>
        <v>8</v>
      </c>
    </row>
    <row r="23" spans="1:17" s="40" customFormat="1" x14ac:dyDescent="0.3">
      <c r="A23" s="34">
        <v>18</v>
      </c>
      <c r="B23" s="35">
        <v>45998</v>
      </c>
      <c r="C23" s="36" t="s">
        <v>34</v>
      </c>
      <c r="D23" s="59">
        <v>5</v>
      </c>
      <c r="E23" s="36" t="s">
        <v>39</v>
      </c>
      <c r="F23" s="59">
        <v>8</v>
      </c>
      <c r="G23" s="37"/>
      <c r="H23" s="38" t="s">
        <v>60</v>
      </c>
      <c r="I23" s="39">
        <v>3</v>
      </c>
      <c r="J23" s="39"/>
      <c r="P23" s="43">
        <f t="shared" ref="P23:P24" si="6">D23-F23</f>
        <v>-3</v>
      </c>
      <c r="Q23" s="49">
        <f t="shared" ref="Q23:Q24" si="7">ABS(P23)</f>
        <v>3</v>
      </c>
    </row>
    <row r="24" spans="1:17" s="40" customFormat="1" x14ac:dyDescent="0.3">
      <c r="A24" s="34">
        <v>30</v>
      </c>
      <c r="B24" s="35">
        <v>46045</v>
      </c>
      <c r="C24" s="36" t="s">
        <v>67</v>
      </c>
      <c r="D24" s="59">
        <v>0</v>
      </c>
      <c r="E24" s="36" t="s">
        <v>34</v>
      </c>
      <c r="F24" s="59">
        <v>1</v>
      </c>
      <c r="G24" s="37" t="s">
        <v>68</v>
      </c>
      <c r="H24" s="38" t="s">
        <v>69</v>
      </c>
      <c r="I24" s="39">
        <v>4</v>
      </c>
      <c r="J24" s="39"/>
      <c r="P24" s="43">
        <f t="shared" si="6"/>
        <v>-1</v>
      </c>
      <c r="Q24" s="49">
        <f t="shared" si="7"/>
        <v>1</v>
      </c>
    </row>
    <row r="25" spans="1:17" s="40" customFormat="1" x14ac:dyDescent="0.3">
      <c r="A25" s="34">
        <v>20</v>
      </c>
      <c r="B25" s="35">
        <v>46053</v>
      </c>
      <c r="C25" s="36" t="s">
        <v>40</v>
      </c>
      <c r="D25" s="59">
        <v>3</v>
      </c>
      <c r="E25" s="36" t="s">
        <v>39</v>
      </c>
      <c r="F25" s="59">
        <v>6</v>
      </c>
      <c r="G25" s="37"/>
      <c r="H25" s="38" t="s">
        <v>60</v>
      </c>
      <c r="I25" s="39">
        <v>3</v>
      </c>
      <c r="J25" s="39"/>
      <c r="O25" s="40">
        <f>LOOKUP(E25,M2:M6,N2:N6)</f>
        <v>3</v>
      </c>
      <c r="P25" s="43">
        <f t="shared" ref="P25:P36" si="8">D25-F25</f>
        <v>-3</v>
      </c>
      <c r="Q25" s="49">
        <f t="shared" ref="Q25:Q36" si="9">ABS(P25)</f>
        <v>3</v>
      </c>
    </row>
    <row r="26" spans="1:17" s="40" customFormat="1" x14ac:dyDescent="0.3">
      <c r="A26" s="34">
        <v>21</v>
      </c>
      <c r="B26" s="35">
        <v>46053</v>
      </c>
      <c r="C26" s="36" t="s">
        <v>38</v>
      </c>
      <c r="D26" s="59">
        <v>3</v>
      </c>
      <c r="E26" s="36" t="s">
        <v>41</v>
      </c>
      <c r="F26" s="59">
        <v>2</v>
      </c>
      <c r="G26" s="37" t="s">
        <v>64</v>
      </c>
      <c r="H26" s="38" t="s">
        <v>65</v>
      </c>
      <c r="I26" s="39">
        <v>7</v>
      </c>
      <c r="J26" s="39"/>
      <c r="P26" s="43">
        <f t="shared" si="8"/>
        <v>1</v>
      </c>
      <c r="Q26" s="49">
        <f t="shared" si="9"/>
        <v>1</v>
      </c>
    </row>
    <row r="27" spans="1:17" s="40" customFormat="1" x14ac:dyDescent="0.3">
      <c r="A27" s="34">
        <v>31</v>
      </c>
      <c r="B27" s="35">
        <v>46053</v>
      </c>
      <c r="C27" s="36" t="s">
        <v>67</v>
      </c>
      <c r="D27" s="59">
        <v>0</v>
      </c>
      <c r="E27" s="36" t="s">
        <v>42</v>
      </c>
      <c r="F27" s="59">
        <v>1</v>
      </c>
      <c r="G27" s="37" t="s">
        <v>68</v>
      </c>
      <c r="H27" s="38" t="s">
        <v>70</v>
      </c>
      <c r="I27" s="39">
        <v>1</v>
      </c>
      <c r="J27" s="39"/>
      <c r="P27" s="43">
        <f t="shared" si="8"/>
        <v>-1</v>
      </c>
      <c r="Q27" s="49">
        <f t="shared" si="9"/>
        <v>1</v>
      </c>
    </row>
    <row r="28" spans="1:17" s="40" customFormat="1" x14ac:dyDescent="0.3">
      <c r="A28" s="34">
        <v>22</v>
      </c>
      <c r="B28" s="35">
        <v>46054</v>
      </c>
      <c r="C28" s="36" t="s">
        <v>40</v>
      </c>
      <c r="D28" s="59">
        <v>2</v>
      </c>
      <c r="E28" s="36" t="s">
        <v>38</v>
      </c>
      <c r="F28" s="59">
        <v>7</v>
      </c>
      <c r="G28" s="37"/>
      <c r="H28" s="38" t="s">
        <v>66</v>
      </c>
      <c r="I28" s="39">
        <v>6</v>
      </c>
      <c r="J28" s="39"/>
      <c r="P28" s="43">
        <f t="shared" si="8"/>
        <v>-5</v>
      </c>
      <c r="Q28" s="49">
        <f t="shared" si="9"/>
        <v>5</v>
      </c>
    </row>
    <row r="29" spans="1:17" s="40" customFormat="1" x14ac:dyDescent="0.3">
      <c r="A29" s="34">
        <v>23</v>
      </c>
      <c r="B29" s="35">
        <v>46054</v>
      </c>
      <c r="C29" s="36" t="s">
        <v>41</v>
      </c>
      <c r="D29" s="59">
        <v>1</v>
      </c>
      <c r="E29" s="36" t="s">
        <v>39</v>
      </c>
      <c r="F29" s="59">
        <v>4</v>
      </c>
      <c r="G29" s="37"/>
      <c r="H29" s="38" t="s">
        <v>60</v>
      </c>
      <c r="I29" s="39">
        <v>3</v>
      </c>
      <c r="J29" s="39"/>
      <c r="P29" s="43">
        <f t="shared" si="8"/>
        <v>-3</v>
      </c>
      <c r="Q29" s="49">
        <f t="shared" si="9"/>
        <v>3</v>
      </c>
    </row>
    <row r="30" spans="1:17" s="40" customFormat="1" x14ac:dyDescent="0.3">
      <c r="A30" s="34">
        <v>24</v>
      </c>
      <c r="B30" s="35">
        <v>46060</v>
      </c>
      <c r="C30" s="36" t="s">
        <v>42</v>
      </c>
      <c r="D30" s="59">
        <v>10</v>
      </c>
      <c r="E30" s="36" t="s">
        <v>38</v>
      </c>
      <c r="F30" s="59">
        <v>1</v>
      </c>
      <c r="G30" s="37"/>
      <c r="H30" s="38" t="s">
        <v>58</v>
      </c>
      <c r="I30" s="39">
        <v>6</v>
      </c>
      <c r="J30" s="39"/>
      <c r="P30" s="43">
        <f t="shared" si="8"/>
        <v>9</v>
      </c>
      <c r="Q30" s="49">
        <f t="shared" si="9"/>
        <v>9</v>
      </c>
    </row>
    <row r="31" spans="1:17" s="40" customFormat="1" x14ac:dyDescent="0.3">
      <c r="A31" s="34">
        <v>25</v>
      </c>
      <c r="B31" s="35">
        <v>46060</v>
      </c>
      <c r="C31" s="36" t="s">
        <v>41</v>
      </c>
      <c r="D31" s="59">
        <v>4</v>
      </c>
      <c r="E31" s="36" t="s">
        <v>40</v>
      </c>
      <c r="F31" s="59">
        <v>6</v>
      </c>
      <c r="G31" s="37"/>
      <c r="H31" s="38" t="s">
        <v>45</v>
      </c>
      <c r="I31" s="39">
        <v>2</v>
      </c>
      <c r="J31" s="39"/>
      <c r="P31" s="43">
        <f t="shared" si="8"/>
        <v>-2</v>
      </c>
      <c r="Q31" s="49">
        <f t="shared" si="9"/>
        <v>2</v>
      </c>
    </row>
    <row r="32" spans="1:17" s="40" customFormat="1" x14ac:dyDescent="0.3">
      <c r="A32" s="34">
        <v>26</v>
      </c>
      <c r="B32" s="35">
        <v>46066</v>
      </c>
      <c r="C32" s="36" t="s">
        <v>42</v>
      </c>
      <c r="D32" s="59">
        <v>4</v>
      </c>
      <c r="E32" s="36" t="s">
        <v>41</v>
      </c>
      <c r="F32" s="59">
        <v>2</v>
      </c>
      <c r="G32" s="37"/>
      <c r="H32" s="38" t="s">
        <v>58</v>
      </c>
      <c r="I32" s="39">
        <v>7</v>
      </c>
      <c r="J32" s="39"/>
      <c r="P32" s="43">
        <f t="shared" si="8"/>
        <v>2</v>
      </c>
      <c r="Q32" s="49">
        <f t="shared" si="9"/>
        <v>2</v>
      </c>
    </row>
    <row r="33" spans="1:17" s="40" customFormat="1" x14ac:dyDescent="0.3">
      <c r="A33" s="34">
        <v>34</v>
      </c>
      <c r="B33" s="35">
        <v>46066</v>
      </c>
      <c r="C33" s="36" t="s">
        <v>39</v>
      </c>
      <c r="D33" s="59">
        <v>5</v>
      </c>
      <c r="E33" s="36" t="s">
        <v>38</v>
      </c>
      <c r="F33" s="59">
        <v>1</v>
      </c>
      <c r="G33" s="37"/>
      <c r="H33" s="38" t="s">
        <v>48</v>
      </c>
      <c r="I33" s="39">
        <v>6</v>
      </c>
      <c r="J33" s="39"/>
      <c r="P33" s="43">
        <f t="shared" si="8"/>
        <v>4</v>
      </c>
      <c r="Q33" s="49">
        <f t="shared" si="9"/>
        <v>4</v>
      </c>
    </row>
    <row r="34" spans="1:17" s="40" customFormat="1" x14ac:dyDescent="0.3">
      <c r="A34" s="34">
        <v>19</v>
      </c>
      <c r="B34" s="35">
        <v>46067</v>
      </c>
      <c r="C34" s="36" t="s">
        <v>42</v>
      </c>
      <c r="D34" s="59">
        <v>6</v>
      </c>
      <c r="E34" s="36" t="s">
        <v>34</v>
      </c>
      <c r="F34" s="59">
        <v>5</v>
      </c>
      <c r="G34" s="37"/>
      <c r="H34" s="38" t="s">
        <v>58</v>
      </c>
      <c r="I34" s="39">
        <v>4</v>
      </c>
      <c r="J34" s="39"/>
      <c r="N34" s="40" t="e">
        <f>LOOKUP(C35,M12:M16,N12:N16)</f>
        <v>#N/A</v>
      </c>
      <c r="P34" s="43">
        <f t="shared" si="8"/>
        <v>1</v>
      </c>
      <c r="Q34" s="49">
        <f t="shared" si="9"/>
        <v>1</v>
      </c>
    </row>
    <row r="35" spans="1:17" s="40" customFormat="1" x14ac:dyDescent="0.3">
      <c r="A35" s="34">
        <v>27</v>
      </c>
      <c r="B35" s="35">
        <v>46068</v>
      </c>
      <c r="C35" s="36" t="s">
        <v>41</v>
      </c>
      <c r="D35" s="59">
        <v>4</v>
      </c>
      <c r="E35" s="36" t="s">
        <v>42</v>
      </c>
      <c r="F35" s="59">
        <v>6</v>
      </c>
      <c r="G35" s="37"/>
      <c r="H35" s="38" t="s">
        <v>46</v>
      </c>
      <c r="I35" s="39">
        <v>1</v>
      </c>
      <c r="J35" s="39"/>
      <c r="P35" s="43">
        <f t="shared" si="8"/>
        <v>-2</v>
      </c>
      <c r="Q35" s="49">
        <f t="shared" si="9"/>
        <v>2</v>
      </c>
    </row>
    <row r="36" spans="1:17" s="40" customFormat="1" x14ac:dyDescent="0.3">
      <c r="A36" s="34">
        <v>33</v>
      </c>
      <c r="B36" s="35">
        <v>46068</v>
      </c>
      <c r="C36" s="36" t="s">
        <v>67</v>
      </c>
      <c r="D36" s="59">
        <v>3</v>
      </c>
      <c r="E36" s="36" t="s">
        <v>39</v>
      </c>
      <c r="F36" s="59">
        <v>11</v>
      </c>
      <c r="G36" s="37"/>
      <c r="H36" s="38" t="s">
        <v>60</v>
      </c>
      <c r="I36" s="39">
        <v>3</v>
      </c>
      <c r="J36" s="39"/>
      <c r="P36" s="43">
        <f t="shared" si="8"/>
        <v>-8</v>
      </c>
      <c r="Q36" s="49">
        <f t="shared" si="9"/>
        <v>8</v>
      </c>
    </row>
    <row r="37" spans="1:17" s="40" customFormat="1" ht="15" thickBot="1" x14ac:dyDescent="0.35">
      <c r="A37" s="97"/>
      <c r="B37" s="97"/>
      <c r="C37" s="97"/>
      <c r="D37" s="97"/>
      <c r="E37" s="97"/>
      <c r="F37" s="97"/>
      <c r="G37" s="97"/>
      <c r="H37" s="38"/>
      <c r="I37" s="39"/>
      <c r="J37" s="39"/>
    </row>
    <row r="38" spans="1:17" s="40" customFormat="1" x14ac:dyDescent="0.3">
      <c r="A38" s="94" t="s">
        <v>43</v>
      </c>
      <c r="B38" s="95"/>
      <c r="C38" s="95"/>
      <c r="D38" s="95"/>
      <c r="E38" s="95"/>
      <c r="F38" s="95"/>
      <c r="G38" s="96"/>
      <c r="H38" s="38"/>
      <c r="I38" s="39"/>
      <c r="J38" s="39"/>
    </row>
    <row r="39" spans="1:17" s="40" customFormat="1" x14ac:dyDescent="0.3">
      <c r="A39" s="88" t="s">
        <v>53</v>
      </c>
      <c r="B39" s="89">
        <v>46071</v>
      </c>
      <c r="C39" s="36"/>
      <c r="D39" s="59"/>
      <c r="E39" s="36"/>
      <c r="F39" s="59"/>
      <c r="G39" s="37"/>
      <c r="H39" s="38"/>
      <c r="I39" s="39"/>
      <c r="J39" s="39"/>
    </row>
    <row r="40" spans="1:17" s="40" customFormat="1" x14ac:dyDescent="0.3">
      <c r="A40" s="34" t="s">
        <v>53</v>
      </c>
      <c r="B40" s="35">
        <v>46073</v>
      </c>
      <c r="C40" s="36" t="s">
        <v>38</v>
      </c>
      <c r="D40" s="59"/>
      <c r="E40" s="36" t="s">
        <v>40</v>
      </c>
      <c r="F40" s="59"/>
      <c r="G40" s="37"/>
      <c r="H40" s="38"/>
      <c r="I40" s="39"/>
      <c r="J40" s="39"/>
    </row>
    <row r="41" spans="1:17" s="40" customFormat="1" x14ac:dyDescent="0.3">
      <c r="A41" s="34" t="s">
        <v>54</v>
      </c>
      <c r="B41" s="35">
        <v>46073</v>
      </c>
      <c r="C41" s="36" t="s">
        <v>41</v>
      </c>
      <c r="D41" s="59"/>
      <c r="E41" s="36" t="s">
        <v>34</v>
      </c>
      <c r="F41" s="59"/>
      <c r="G41" s="37"/>
      <c r="H41" s="38"/>
      <c r="I41" s="39"/>
      <c r="J41" s="39"/>
    </row>
    <row r="42" spans="1:17" s="40" customFormat="1" x14ac:dyDescent="0.3">
      <c r="A42" s="34" t="s">
        <v>55</v>
      </c>
      <c r="B42" s="35">
        <v>46074</v>
      </c>
      <c r="C42" s="36"/>
      <c r="D42" s="59"/>
      <c r="E42" s="36" t="s">
        <v>39</v>
      </c>
      <c r="F42" s="59"/>
      <c r="G42" s="37"/>
      <c r="H42" s="38"/>
      <c r="I42" s="39"/>
      <c r="J42" s="39"/>
    </row>
    <row r="43" spans="1:17" s="40" customFormat="1" x14ac:dyDescent="0.3">
      <c r="A43" s="71" t="s">
        <v>57</v>
      </c>
      <c r="B43" s="72">
        <v>46074</v>
      </c>
      <c r="C43" s="73"/>
      <c r="D43" s="74"/>
      <c r="E43" s="73" t="s">
        <v>42</v>
      </c>
      <c r="F43" s="74"/>
      <c r="G43" s="75"/>
      <c r="H43" s="38"/>
      <c r="I43" s="39"/>
      <c r="J43" s="39"/>
    </row>
    <row r="44" spans="1:17" s="40" customFormat="1" ht="15" thickBot="1" x14ac:dyDescent="0.35">
      <c r="A44" s="52" t="s">
        <v>56</v>
      </c>
      <c r="B44" s="53">
        <v>46075</v>
      </c>
      <c r="C44" s="54"/>
      <c r="D44" s="60"/>
      <c r="E44" s="54"/>
      <c r="F44" s="60"/>
      <c r="G44" s="55"/>
      <c r="H44" s="38"/>
      <c r="I44" s="39"/>
      <c r="J44" s="39"/>
    </row>
    <row r="45" spans="1:17" x14ac:dyDescent="0.3">
      <c r="A45" s="29"/>
      <c r="B45" s="30"/>
      <c r="C45" s="29"/>
      <c r="D45" s="61"/>
      <c r="E45" s="29"/>
      <c r="F45" s="61"/>
      <c r="G45" s="31"/>
      <c r="H45" s="24"/>
      <c r="I45" s="13"/>
      <c r="J45" s="13"/>
    </row>
    <row r="46" spans="1:17" x14ac:dyDescent="0.3">
      <c r="A46" s="29"/>
      <c r="B46" s="30"/>
      <c r="C46" s="29"/>
      <c r="D46" s="61"/>
      <c r="E46" s="29"/>
      <c r="F46" s="61"/>
      <c r="G46" s="31"/>
      <c r="H46" s="24"/>
      <c r="I46" s="13"/>
      <c r="J46" s="13"/>
    </row>
    <row r="47" spans="1:17" x14ac:dyDescent="0.3">
      <c r="A47" s="29"/>
      <c r="B47" s="30"/>
      <c r="C47" s="29"/>
      <c r="D47" s="61"/>
      <c r="E47" s="29"/>
      <c r="F47" s="61"/>
      <c r="G47" s="31"/>
      <c r="H47" s="24"/>
      <c r="I47" s="13"/>
      <c r="J47" s="13"/>
    </row>
    <row r="48" spans="1:17" x14ac:dyDescent="0.3">
      <c r="A48" s="29"/>
      <c r="B48" s="30"/>
      <c r="C48" s="29"/>
      <c r="D48" s="61"/>
      <c r="E48" s="29"/>
      <c r="F48" s="61"/>
      <c r="G48" s="31"/>
      <c r="H48" s="24"/>
      <c r="I48" s="13"/>
      <c r="J48" s="13"/>
    </row>
    <row r="49" spans="1:10" x14ac:dyDescent="0.3">
      <c r="A49" s="29"/>
      <c r="B49" s="30"/>
      <c r="C49" s="29"/>
      <c r="D49" s="61"/>
      <c r="E49" s="29"/>
      <c r="F49" s="61"/>
      <c r="G49" s="31"/>
      <c r="H49" s="24"/>
      <c r="I49" s="13"/>
      <c r="J49" s="13"/>
    </row>
    <row r="50" spans="1:10" x14ac:dyDescent="0.3">
      <c r="A50" s="29"/>
      <c r="B50" s="30"/>
      <c r="C50" s="29"/>
      <c r="D50" s="61"/>
      <c r="E50" s="29"/>
      <c r="F50" s="61"/>
      <c r="G50" s="31"/>
      <c r="H50" s="24"/>
      <c r="I50" s="13"/>
      <c r="J50" s="13"/>
    </row>
    <row r="51" spans="1:10" x14ac:dyDescent="0.3">
      <c r="A51" s="29"/>
      <c r="B51" s="30"/>
      <c r="C51" s="29"/>
      <c r="D51" s="61"/>
      <c r="E51" s="29"/>
      <c r="F51" s="61"/>
      <c r="G51" s="31"/>
      <c r="H51" s="24"/>
      <c r="I51" s="13"/>
      <c r="J51" s="13"/>
    </row>
    <row r="52" spans="1:10" x14ac:dyDescent="0.3">
      <c r="A52" s="29"/>
      <c r="B52" s="30"/>
      <c r="C52" s="29"/>
      <c r="D52" s="61"/>
      <c r="E52" s="29"/>
      <c r="F52" s="61"/>
      <c r="G52" s="31"/>
      <c r="H52" s="24"/>
      <c r="I52" s="13"/>
      <c r="J52" s="13"/>
    </row>
    <row r="53" spans="1:10" x14ac:dyDescent="0.3">
      <c r="A53" s="29"/>
      <c r="B53" s="30"/>
      <c r="C53" s="29"/>
      <c r="D53" s="61"/>
      <c r="E53" s="29"/>
      <c r="F53" s="61"/>
      <c r="G53" s="31"/>
      <c r="H53" s="24"/>
      <c r="I53" s="13"/>
      <c r="J53" s="13"/>
    </row>
    <row r="54" spans="1:10" x14ac:dyDescent="0.3">
      <c r="A54" s="29"/>
      <c r="B54" s="30"/>
      <c r="C54" s="29"/>
      <c r="D54" s="61"/>
      <c r="E54" s="29"/>
      <c r="F54" s="61"/>
      <c r="G54" s="31"/>
      <c r="H54" s="24"/>
      <c r="I54" s="13"/>
      <c r="J54" s="13"/>
    </row>
    <row r="55" spans="1:10" x14ac:dyDescent="0.3">
      <c r="A55" s="25"/>
      <c r="B55" s="26"/>
      <c r="C55" s="27"/>
      <c r="D55" s="25"/>
      <c r="E55" s="27"/>
      <c r="F55" s="25"/>
      <c r="G55" s="28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8"/>
      <c r="B68" s="15"/>
      <c r="C68" s="20"/>
      <c r="D68" s="11"/>
      <c r="E68" s="20"/>
      <c r="F68" s="11"/>
      <c r="G68" s="9"/>
      <c r="H68" s="12"/>
      <c r="I68" s="13"/>
      <c r="J68" s="13"/>
    </row>
    <row r="69" spans="1:10" x14ac:dyDescent="0.3">
      <c r="A69" s="8"/>
      <c r="B69" s="15"/>
      <c r="C69" s="21"/>
      <c r="D69" s="62"/>
      <c r="E69" s="21"/>
      <c r="F69" s="62"/>
      <c r="G69" s="9"/>
      <c r="H69" s="12"/>
      <c r="I69" s="13"/>
      <c r="J69" s="13"/>
    </row>
    <row r="70" spans="1:10" x14ac:dyDescent="0.3">
      <c r="A70" s="8"/>
      <c r="B70" s="15"/>
      <c r="C70" s="21"/>
      <c r="D70" s="62"/>
      <c r="E70" s="21"/>
      <c r="F70" s="62"/>
      <c r="G70" s="9"/>
      <c r="H70" s="12"/>
      <c r="I70" s="13"/>
      <c r="J70" s="13"/>
    </row>
    <row r="71" spans="1:10" x14ac:dyDescent="0.3">
      <c r="A71" s="8"/>
      <c r="B71" s="15"/>
      <c r="C71" s="21"/>
      <c r="D71" s="62"/>
      <c r="E71" s="21"/>
      <c r="F71" s="62"/>
      <c r="G71" s="9"/>
      <c r="H71" s="12"/>
      <c r="I71" s="13"/>
      <c r="J71" s="13"/>
    </row>
    <row r="72" spans="1:10" x14ac:dyDescent="0.3">
      <c r="A72" s="8"/>
      <c r="B72" s="15"/>
      <c r="C72" s="21"/>
      <c r="D72" s="62"/>
      <c r="E72" s="21"/>
      <c r="F72" s="62"/>
      <c r="G72" s="9"/>
      <c r="H72" s="12"/>
      <c r="I72" s="13"/>
      <c r="J72" s="13"/>
    </row>
    <row r="73" spans="1:10" x14ac:dyDescent="0.3">
      <c r="A73" s="8"/>
      <c r="B73" s="15"/>
      <c r="C73" s="21"/>
      <c r="D73" s="62"/>
      <c r="E73" s="21"/>
      <c r="F73" s="62"/>
      <c r="G73" s="9"/>
      <c r="H73" s="12"/>
      <c r="I73" s="13"/>
      <c r="J73" s="13"/>
    </row>
    <row r="74" spans="1:10" x14ac:dyDescent="0.3">
      <c r="A74" s="8"/>
      <c r="B74" s="15"/>
      <c r="C74" s="21"/>
      <c r="D74" s="62"/>
      <c r="E74" s="21"/>
      <c r="F74" s="62"/>
      <c r="G74" s="9"/>
      <c r="H74" s="12"/>
      <c r="I74" s="13"/>
      <c r="J74" s="13"/>
    </row>
    <row r="75" spans="1:10" x14ac:dyDescent="0.3">
      <c r="A75" s="8"/>
      <c r="B75" s="15"/>
      <c r="C75" s="21"/>
      <c r="D75" s="62"/>
      <c r="E75" s="21"/>
      <c r="F75" s="62"/>
      <c r="G75" s="9"/>
      <c r="H75" s="12"/>
      <c r="I75" s="13"/>
      <c r="J75" s="13"/>
    </row>
    <row r="76" spans="1:10" x14ac:dyDescent="0.3">
      <c r="C76" s="21"/>
      <c r="D76" s="62"/>
      <c r="E76" s="21"/>
      <c r="F76" s="62"/>
    </row>
    <row r="77" spans="1:10" x14ac:dyDescent="0.3">
      <c r="H77">
        <f>D78+F78</f>
        <v>312</v>
      </c>
    </row>
    <row r="78" spans="1:10" x14ac:dyDescent="0.3">
      <c r="D78" s="58">
        <f>SUM(D3:D76)</f>
        <v>139</v>
      </c>
      <c r="F78" s="58">
        <f>SUM(F3:F76)</f>
        <v>173</v>
      </c>
    </row>
  </sheetData>
  <sortState xmlns:xlrd2="http://schemas.microsoft.com/office/spreadsheetml/2017/richdata2" ref="A25:U36">
    <sortCondition ref="B25:B36"/>
  </sortState>
  <mergeCells count="4">
    <mergeCell ref="R1:S1"/>
    <mergeCell ref="R2:S2"/>
    <mergeCell ref="A38:G38"/>
    <mergeCell ref="A37:G37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4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2026-02-17T15:56:52Z</dcterms:modified>
</cp:coreProperties>
</file>