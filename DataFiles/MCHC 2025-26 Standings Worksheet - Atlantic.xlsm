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256" documentId="13_ncr:1_{6D847147-14CC-4E2E-9F58-D0DC2A8D343C}" xr6:coauthVersionLast="47" xr6:coauthVersionMax="47" xr10:uidLastSave="{4297EFA3-08FF-4E70-B917-535B18EBD1F1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<sst xmlns="http://schemas.openxmlformats.org/spreadsheetml/2006/main" count="115" uniqueCount="53">
  <si>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</si>
  <si>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</si>
  <si>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</si>
  <si>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</si>
  <si>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</si>
  <si>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</si>
  <si>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</si>
  <si>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</si>
  <si>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</si>
  <si>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</si>
  <si>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</si>
  <si>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</si>
  <si>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</si>
  <si>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</si>
  <si>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</si>
  <si>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</si>
  <si>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</si>
  <si>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</si>
  <si>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</si>
  <si>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</si>
  <si>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</si>
  <si>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</si>
  <si>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</si>
  <si>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</si>
  <si>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</si>
  <si>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</si>
  <si>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</si>
  <si>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</si>
  <si>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</si>
  <si>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</si>
  <si>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</si>
  <si>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</si>
  <si>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Playoff Structure TBD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</si>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</sst>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S12" sqref="S12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" x14ac:dyDescent="0.3">
      <c r="A3" s="85"/>
      <c r="B3" s="66"/>
      <c r="C3" s="66" t="s">
        <v>2</v>
      </c>
      <c r="D3" s="67" t="s">
        <v>21</v>
      </c>
      <c r="E3" s="67" t="s">
        <v>19</v>
      </c>
      <c r="F3" s="67" t="s">
        <v>20</v>
      </c>
      <c r="G3" s="67" t="s">
        <v>29</v>
      </c>
      <c r="H3" s="67" t="s">
        <v>30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3">
      <c r="A4" s="85"/>
      <c r="B4" s="57">
        <v>1</v>
      </c>
      <c r="C4" s="59" t="s">
        <v>43</v>
      </c>
      <c r="D4" s="23">
        <v>3</v>
      </c>
      <c r="E4" s="23">
        <v>3</v>
      </c>
      <c r="F4" s="23">
        <v>0</v>
      </c>
      <c r="G4" s="23">
        <v>0</v>
      </c>
      <c r="H4" s="58">
        <v>6</v>
      </c>
      <c r="I4" s="23">
        <v>13</v>
      </c>
      <c r="J4" s="60">
        <v>6</v>
      </c>
      <c r="K4" s="85"/>
      <c r="M4" s="4">
        <v>1</v>
      </c>
      <c r="N4" t="s">
        <v>11</v>
      </c>
    </row>
    <row r="5" spans="1:16" ht="18" customHeight="1" x14ac:dyDescent="0.3">
      <c r="A5" s="85"/>
      <c r="B5" s="57">
        <v>2</v>
      </c>
      <c r="C5" s="59" t="s">
        <v>44</v>
      </c>
      <c r="D5" s="23">
        <v>1</v>
      </c>
      <c r="E5" s="23">
        <v>1</v>
      </c>
      <c r="F5" s="23">
        <v>0</v>
      </c>
      <c r="G5" s="23">
        <v>0</v>
      </c>
      <c r="H5" s="58">
        <v>2</v>
      </c>
      <c r="I5" s="23">
        <v>7</v>
      </c>
      <c r="J5" s="60">
        <v>4</v>
      </c>
      <c r="K5" s="85"/>
      <c r="M5" s="4">
        <v>2</v>
      </c>
      <c r="N5" t="s">
        <v>12</v>
      </c>
    </row>
    <row r="6" spans="1:16" ht="18" customHeight="1" x14ac:dyDescent="0.3">
      <c r="A6" s="85"/>
      <c r="B6" s="57">
        <v>3</v>
      </c>
      <c r="C6" s="59" t="s">
        <v>42</v>
      </c>
      <c r="D6" s="23">
        <v>2</v>
      </c>
      <c r="E6" s="23">
        <v>1</v>
      </c>
      <c r="F6" s="23">
        <v>1</v>
      </c>
      <c r="G6" s="23">
        <v>0</v>
      </c>
      <c r="H6" s="58">
        <v>2</v>
      </c>
      <c r="I6" s="23">
        <v>12</v>
      </c>
      <c r="J6" s="60">
        <v>11</v>
      </c>
      <c r="K6" s="85"/>
      <c r="M6" s="4">
        <v>3</v>
      </c>
      <c r="N6" t="s">
        <v>13</v>
      </c>
    </row>
    <row r="7" spans="1:16" ht="18" customHeight="1" x14ac:dyDescent="0.3">
      <c r="A7" s="85"/>
      <c r="B7" s="57">
        <v>4</v>
      </c>
      <c r="C7" s="59" t="s">
        <v>35</v>
      </c>
      <c r="D7" s="23">
        <v>2</v>
      </c>
      <c r="E7" s="23">
        <v>1</v>
      </c>
      <c r="F7" s="23">
        <v>1</v>
      </c>
      <c r="G7" s="23">
        <v>0</v>
      </c>
      <c r="H7" s="58">
        <v>2</v>
      </c>
      <c r="I7" s="23">
        <v>10</v>
      </c>
      <c r="J7" s="60">
        <v>9</v>
      </c>
      <c r="K7" s="85"/>
      <c r="M7" s="4">
        <v>4</v>
      </c>
      <c r="N7" t="s">
        <v>15</v>
      </c>
    </row>
    <row r="8" spans="1:16" ht="18" customHeight="1" x14ac:dyDescent="0.3">
      <c r="A8" s="85"/>
      <c r="B8" s="57">
        <v>5</v>
      </c>
      <c r="C8" s="59" t="s">
        <v>45</v>
      </c>
      <c r="D8" s="23">
        <v>3</v>
      </c>
      <c r="E8" s="23">
        <v>1</v>
      </c>
      <c r="F8" s="23">
        <v>2</v>
      </c>
      <c r="G8" s="23">
        <v>0</v>
      </c>
      <c r="H8" s="58">
        <v>2</v>
      </c>
      <c r="I8" s="23">
        <v>13</v>
      </c>
      <c r="J8" s="60">
        <v>14</v>
      </c>
      <c r="K8" s="85"/>
      <c r="M8" s="4">
        <v>5</v>
      </c>
      <c r="N8" t="s">
        <v>17</v>
      </c>
    </row>
    <row r="9" spans="1:16" ht="18" customHeight="1" x14ac:dyDescent="0.3">
      <c r="A9" s="85"/>
      <c r="B9" s="57">
        <v>6</v>
      </c>
      <c r="C9" s="59" t="s">
        <v>41</v>
      </c>
      <c r="D9" s="23">
        <v>1</v>
      </c>
      <c r="E9" s="23">
        <v>0</v>
      </c>
      <c r="F9" s="23">
        <v>1</v>
      </c>
      <c r="G9" s="23">
        <v>0</v>
      </c>
      <c r="H9" s="58">
        <v>0</v>
      </c>
      <c r="I9" s="23">
        <v>2</v>
      </c>
      <c r="J9" s="60">
        <v>4</v>
      </c>
      <c r="K9" s="85"/>
    </row>
    <row r="10" spans="1:16" ht="18" customHeight="1" thickBot="1" x14ac:dyDescent="0.35">
      <c r="A10" s="85"/>
      <c r="B10" s="57">
        <v>7</v>
      </c>
      <c r="C10" s="76" t="s">
        <v>40</v>
      </c>
      <c r="D10" s="77">
        <v>2</v>
      </c>
      <c r="E10" s="77">
        <v>0</v>
      </c>
      <c r="F10" s="77">
        <v>2</v>
      </c>
      <c r="G10" s="77">
        <v>0</v>
      </c>
      <c r="H10" s="78">
        <v>0</v>
      </c>
      <c r="I10" s="77">
        <v>4</v>
      </c>
      <c r="J10" s="79">
        <v>13</v>
      </c>
      <c r="K10" s="85"/>
      <c r="M10" t="s">
        <v>14</v>
      </c>
    </row>
    <row r="11" spans="1:16" ht="18" customHeight="1" thickBot="1" x14ac:dyDescent="0.35">
      <c r="A11" s="85"/>
      <c r="B11" s="57"/>
      <c r="C11" s="93"/>
      <c r="D11" s="94"/>
      <c r="E11" s="94"/>
      <c r="F11" s="94"/>
      <c r="G11" s="94"/>
      <c r="H11" s="94"/>
      <c r="I11" s="94"/>
      <c r="J11" s="95"/>
      <c r="K11" s="85"/>
    </row>
    <row r="12" spans="1:16" ht="16.8" thickTop="1" thickBot="1" x14ac:dyDescent="0.35">
      <c r="A12" s="85"/>
      <c r="B12" s="57"/>
      <c r="C12" s="96"/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>
        <v>7</v>
      </c>
    </row>
    <row r="13" spans="1:16" ht="15.6" x14ac:dyDescent="0.3">
      <c r="A13" s="1"/>
      <c r="B13" s="56"/>
      <c r="C13" s="88" t="s">
        <v>31</v>
      </c>
      <c r="D13" s="89"/>
      <c r="E13" s="89"/>
      <c r="F13" s="89"/>
      <c r="G13" s="86" cm="1">
        <f t="array" aca="1" ref="G13" ca="1">LastModified()</f>
        <v>45949.894155092596</v>
      </c>
      <c r="H13" s="86"/>
      <c r="I13" s="86"/>
      <c r="J13" s="87"/>
      <c r="K13" s="1"/>
      <c r="M13" s="32"/>
      <c r="N13" s="32"/>
      <c r="O13" s="32"/>
    </row>
    <row r="14" spans="1:16" ht="52.95" customHeight="1" thickBot="1" x14ac:dyDescent="0.35">
      <c r="B14" s="33"/>
      <c r="C14" s="90" t="s">
        <v>32</v>
      </c>
      <c r="D14" s="91"/>
      <c r="E14" s="91"/>
      <c r="F14" s="91"/>
      <c r="G14" s="91"/>
      <c r="H14" s="91"/>
      <c r="I14" s="91"/>
      <c r="J14" s="92"/>
    </row>
    <row r="15" spans="1:16" x14ac:dyDescent="0.3">
      <c r="G15" s="83" t="s">
        <v>18</v>
      </c>
      <c r="H15" s="83"/>
      <c r="I15" s="7">
        <f>SUM(I4:I12)</f>
        <v>61</v>
      </c>
      <c r="J15" s="7">
        <f>SUM(J4:J12)</f>
        <v>61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zoomScaleNormal="100" workbookViewId="0">
      <selection activeCell="A9" sqref="A9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" style="61" bestFit="1" customWidth="1"/>
    <col min="5" max="5" width="10.88671875" style="19" bestFit="1" customWidth="1"/>
    <col min="6" max="6" width="3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33</v>
      </c>
      <c r="N1" s="6">
        <v>1</v>
      </c>
      <c r="O1" s="22" t="s">
        <v>28</v>
      </c>
      <c r="R1" s="99" t="s">
        <v>26</v>
      </c>
      <c r="S1" s="100"/>
      <c r="T1" s="73">
        <f>MAX(A:A)</f>
        <v>28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34</v>
      </c>
      <c r="N2" s="6">
        <v>2</v>
      </c>
      <c r="P2" s="17" t="s">
        <v>22</v>
      </c>
      <c r="Q2" s="18" t="s">
        <v>23</v>
      </c>
      <c r="R2" s="101" t="s">
        <v>27</v>
      </c>
      <c r="S2" s="102"/>
      <c r="T2" s="74">
        <f>SUM(T3:T7)</f>
        <v>7</v>
      </c>
      <c r="U2" s="75"/>
    </row>
    <row r="3" spans="1:21" s="40" customFormat="1" ht="15.6" thickTop="1" thickBot="1" x14ac:dyDescent="0.35">
      <c r="A3" s="34">
        <v>1</v>
      </c>
      <c r="B3" s="35">
        <v>45928</v>
      </c>
      <c r="C3" s="36" t="s">
        <v>35</v>
      </c>
      <c r="D3" s="62">
        <v>9</v>
      </c>
      <c r="E3" s="36" t="s">
        <v>40</v>
      </c>
      <c r="F3" s="62">
        <v>4</v>
      </c>
      <c r="G3" s="37"/>
      <c r="H3" s="38" t="s">
        <v>47</v>
      </c>
      <c r="I3" s="39">
        <v>6</v>
      </c>
      <c r="J3" s="39"/>
      <c r="M3" s="41" t="s">
        <v>38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1</v>
      </c>
      <c r="U3" s="45">
        <f>IF($T$2&gt;0, T3/$T$2, 0)</f>
        <v>0.14285714285714285</v>
      </c>
    </row>
    <row r="4" spans="1:21" s="40" customFormat="1" ht="15.6" thickTop="1" thickBot="1" x14ac:dyDescent="0.35">
      <c r="A4" s="34">
        <v>2</v>
      </c>
      <c r="B4" s="35">
        <v>45935</v>
      </c>
      <c r="C4" s="36" t="s">
        <v>40</v>
      </c>
      <c r="D4" s="62">
        <v>0</v>
      </c>
      <c r="E4" s="36" t="s">
        <v>43</v>
      </c>
      <c r="F4" s="62">
        <v>4</v>
      </c>
      <c r="G4" s="37"/>
      <c r="H4" s="38" t="s">
        <v>48</v>
      </c>
      <c r="I4" s="39">
        <v>2</v>
      </c>
      <c r="J4" s="39"/>
      <c r="M4" s="42" t="s">
        <v>35</v>
      </c>
      <c r="N4" s="42">
        <v>4</v>
      </c>
      <c r="P4" s="43">
        <f t="shared" ref="P4:P11" si="0">D4-F4</f>
        <v>-4</v>
      </c>
      <c r="Q4" s="40">
        <f t="shared" ref="Q4:Q11" si="1">ABS(P4)</f>
        <v>4</v>
      </c>
      <c r="R4" s="44">
        <v>2</v>
      </c>
      <c r="S4" s="40" t="s">
        <v>25</v>
      </c>
      <c r="T4" s="40">
        <f>COUNTIF($Q$3:$Q$44,R4)</f>
        <v>1</v>
      </c>
      <c r="U4" s="45">
        <f>IF($T$2&gt;0, T4/$T$2, 0)</f>
        <v>0.14285714285714285</v>
      </c>
    </row>
    <row r="5" spans="1:21" s="40" customFormat="1" ht="15.6" thickTop="1" thickBot="1" x14ac:dyDescent="0.35">
      <c r="A5" s="34">
        <v>3</v>
      </c>
      <c r="B5" s="35">
        <v>45935</v>
      </c>
      <c r="C5" s="36" t="s">
        <v>35</v>
      </c>
      <c r="D5" s="62">
        <v>1</v>
      </c>
      <c r="E5" s="36" t="s">
        <v>45</v>
      </c>
      <c r="F5" s="62">
        <v>5</v>
      </c>
      <c r="G5" s="37"/>
      <c r="H5" s="38" t="s">
        <v>49</v>
      </c>
      <c r="I5" s="39">
        <v>1</v>
      </c>
      <c r="J5" s="39"/>
      <c r="M5" s="42" t="s">
        <v>37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1</v>
      </c>
      <c r="U5" s="45">
        <f>IF($T$2&gt;0, T5/$T$2, 0)</f>
        <v>0.14285714285714285</v>
      </c>
    </row>
    <row r="6" spans="1:21" s="40" customFormat="1" ht="15.6" thickTop="1" thickBot="1" x14ac:dyDescent="0.35">
      <c r="A6" s="34">
        <v>5</v>
      </c>
      <c r="B6" s="35">
        <v>45947</v>
      </c>
      <c r="C6" s="36" t="s">
        <v>42</v>
      </c>
      <c r="D6" s="62">
        <v>4</v>
      </c>
      <c r="E6" s="36" t="s">
        <v>44</v>
      </c>
      <c r="F6" s="62">
        <v>7</v>
      </c>
      <c r="G6" s="37"/>
      <c r="H6" s="38" t="s">
        <v>50</v>
      </c>
      <c r="I6" s="39">
        <v>7</v>
      </c>
      <c r="J6" s="39"/>
      <c r="M6" s="42" t="s">
        <v>36</v>
      </c>
      <c r="N6" s="42">
        <v>6</v>
      </c>
      <c r="P6" s="43">
        <f t="shared" si="0"/>
        <v>-3</v>
      </c>
      <c r="Q6" s="40">
        <f t="shared" si="1"/>
        <v>3</v>
      </c>
      <c r="R6" s="44">
        <v>4</v>
      </c>
      <c r="S6" s="40" t="s">
        <v>25</v>
      </c>
      <c r="T6" s="40">
        <f>COUNTIF($Q$3:$Q$44,R6)</f>
        <v>3</v>
      </c>
      <c r="U6" s="45">
        <f>IF($T$2&gt;0, T6/$T$2, 0)</f>
        <v>0.42857142857142855</v>
      </c>
    </row>
    <row r="7" spans="1:21" s="40" customFormat="1" ht="15.6" thickTop="1" thickBot="1" x14ac:dyDescent="0.35">
      <c r="A7" s="34">
        <v>6</v>
      </c>
      <c r="B7" s="35">
        <v>45948</v>
      </c>
      <c r="C7" s="36" t="s">
        <v>42</v>
      </c>
      <c r="D7" s="62">
        <v>8</v>
      </c>
      <c r="E7" s="36" t="s">
        <v>45</v>
      </c>
      <c r="F7" s="62">
        <v>4</v>
      </c>
      <c r="G7" s="37"/>
      <c r="H7" s="38" t="s">
        <v>51</v>
      </c>
      <c r="I7" s="39">
        <v>1</v>
      </c>
      <c r="J7" s="39"/>
      <c r="M7" s="42" t="s">
        <v>39</v>
      </c>
      <c r="N7" s="42">
        <v>7</v>
      </c>
      <c r="P7" s="43">
        <f t="shared" si="0"/>
        <v>4</v>
      </c>
      <c r="Q7" s="40">
        <f t="shared" si="1"/>
        <v>4</v>
      </c>
      <c r="R7" s="46" t="s">
        <v>24</v>
      </c>
      <c r="S7" s="47" t="s">
        <v>25</v>
      </c>
      <c r="T7" s="47">
        <f>COUNTIF($Q$3:$Q$44,"&gt;=5")</f>
        <v>1</v>
      </c>
      <c r="U7" s="48">
        <f>IF($T$2&gt;0, T7/$T$2, 0)</f>
        <v>0.14285714285714285</v>
      </c>
    </row>
    <row r="8" spans="1:21" s="40" customFormat="1" ht="15.6" thickTop="1" thickBot="1" x14ac:dyDescent="0.35">
      <c r="A8" s="34">
        <v>28</v>
      </c>
      <c r="B8" s="35">
        <v>45948</v>
      </c>
      <c r="C8" s="36" t="s">
        <v>43</v>
      </c>
      <c r="D8" s="62">
        <v>4</v>
      </c>
      <c r="E8" s="36" t="s">
        <v>41</v>
      </c>
      <c r="F8" s="62">
        <v>2</v>
      </c>
      <c r="G8" s="37"/>
      <c r="H8" s="38" t="s">
        <v>52</v>
      </c>
      <c r="I8" s="39">
        <v>5</v>
      </c>
      <c r="J8" s="39"/>
      <c r="M8" s="42"/>
      <c r="N8" s="42"/>
      <c r="P8" s="43">
        <f t="shared" si="0"/>
        <v>2</v>
      </c>
      <c r="Q8" s="49">
        <f t="shared" si="1"/>
        <v>2</v>
      </c>
      <c r="U8" s="50">
        <f>SUM(U3:U7)</f>
        <v>1</v>
      </c>
    </row>
    <row r="9" spans="1:21" s="40" customFormat="1" ht="15.6" thickTop="1" thickBot="1" x14ac:dyDescent="0.35">
      <c r="A9" s="34">
        <v>7</v>
      </c>
      <c r="B9" s="35">
        <v>45949</v>
      </c>
      <c r="C9" s="36" t="s">
        <v>45</v>
      </c>
      <c r="D9" s="62">
        <v>4</v>
      </c>
      <c r="E9" s="36" t="s">
        <v>43</v>
      </c>
      <c r="F9" s="62">
        <v>5</v>
      </c>
      <c r="G9" s="37"/>
      <c r="H9" s="38" t="s">
        <v>48</v>
      </c>
      <c r="I9" s="39">
        <v>2</v>
      </c>
      <c r="J9" s="39"/>
      <c r="M9" s="42"/>
      <c r="N9" s="42"/>
      <c r="P9" s="43">
        <f t="shared" si="0"/>
        <v>-1</v>
      </c>
      <c r="Q9" s="49">
        <f t="shared" si="1"/>
        <v>1</v>
      </c>
      <c r="U9" s="50"/>
    </row>
    <row r="10" spans="1:21" s="40" customFormat="1" ht="15.6" thickTop="1" thickBot="1" x14ac:dyDescent="0.35">
      <c r="A10" s="34">
        <v>8</v>
      </c>
      <c r="B10" s="35">
        <v>45956</v>
      </c>
      <c r="C10" s="36" t="s">
        <v>43</v>
      </c>
      <c r="D10" s="62"/>
      <c r="E10" s="36" t="s">
        <v>35</v>
      </c>
      <c r="F10" s="62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9</v>
      </c>
      <c r="B11" s="35">
        <v>45962</v>
      </c>
      <c r="C11" s="36" t="s">
        <v>42</v>
      </c>
      <c r="D11" s="62"/>
      <c r="E11" s="36" t="s">
        <v>43</v>
      </c>
      <c r="F11" s="62"/>
      <c r="G11" s="37"/>
      <c r="H11" s="38"/>
      <c r="I11" s="39"/>
      <c r="J11" s="39"/>
      <c r="N11" s="42">
        <v>7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10</v>
      </c>
      <c r="B12" s="35">
        <v>45962</v>
      </c>
      <c r="C12" s="36" t="s">
        <v>35</v>
      </c>
      <c r="D12" s="62"/>
      <c r="E12" s="36" t="s">
        <v>44</v>
      </c>
      <c r="F12" s="62"/>
      <c r="G12" s="37"/>
      <c r="H12" s="38"/>
      <c r="I12" s="39"/>
      <c r="J12" s="39"/>
      <c r="P12" s="43">
        <f t="shared" ref="P12:P18" si="2">D12-F12</f>
        <v>0</v>
      </c>
      <c r="Q12" s="49">
        <f t="shared" ref="Q12:Q18" si="3">ABS(P12)</f>
        <v>0</v>
      </c>
    </row>
    <row r="13" spans="1:21" s="40" customFormat="1" x14ac:dyDescent="0.3">
      <c r="A13" s="34">
        <v>11</v>
      </c>
      <c r="B13" s="35">
        <v>45963</v>
      </c>
      <c r="C13" s="36" t="s">
        <v>44</v>
      </c>
      <c r="D13" s="62"/>
      <c r="E13" s="36" t="s">
        <v>35</v>
      </c>
      <c r="F13" s="62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12</v>
      </c>
      <c r="B14" s="35">
        <v>45968</v>
      </c>
      <c r="C14" s="36" t="s">
        <v>45</v>
      </c>
      <c r="D14" s="62"/>
      <c r="E14" s="36" t="s">
        <v>42</v>
      </c>
      <c r="F14" s="62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13</v>
      </c>
      <c r="B15" s="35">
        <v>45970</v>
      </c>
      <c r="C15" s="36" t="s">
        <v>40</v>
      </c>
      <c r="D15" s="62"/>
      <c r="E15" s="36" t="s">
        <v>35</v>
      </c>
      <c r="F15" s="62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14</v>
      </c>
      <c r="B16" s="35">
        <v>45975</v>
      </c>
      <c r="C16" s="36" t="s">
        <v>43</v>
      </c>
      <c r="D16" s="62"/>
      <c r="E16" s="36" t="s">
        <v>44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>
        <v>45982</v>
      </c>
      <c r="C17" s="36" t="s">
        <v>43</v>
      </c>
      <c r="D17" s="62"/>
      <c r="E17" s="36" t="s">
        <v>45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3">
      <c r="A18" s="34">
        <v>16</v>
      </c>
      <c r="B18" s="35">
        <v>45983</v>
      </c>
      <c r="C18" s="36" t="s">
        <v>40</v>
      </c>
      <c r="D18" s="62"/>
      <c r="E18" s="36" t="s">
        <v>45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3">
      <c r="A19" s="34">
        <v>4</v>
      </c>
      <c r="B19" s="35">
        <v>45997</v>
      </c>
      <c r="C19" s="36" t="s">
        <v>41</v>
      </c>
      <c r="D19" s="62"/>
      <c r="E19" s="36" t="s">
        <v>43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3">
      <c r="A20" s="34">
        <v>17</v>
      </c>
      <c r="B20" s="35">
        <v>45997</v>
      </c>
      <c r="C20" s="36" t="s">
        <v>40</v>
      </c>
      <c r="D20" s="62"/>
      <c r="E20" s="36" t="s">
        <v>42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18</v>
      </c>
      <c r="B21" s="35">
        <v>45998</v>
      </c>
      <c r="C21" s="36" t="s">
        <v>35</v>
      </c>
      <c r="D21" s="62"/>
      <c r="E21" s="36" t="s">
        <v>42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19</v>
      </c>
      <c r="B22" s="35">
        <v>46047</v>
      </c>
      <c r="C22" s="36" t="s">
        <v>45</v>
      </c>
      <c r="D22" s="62"/>
      <c r="E22" s="36" t="s">
        <v>35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20</v>
      </c>
      <c r="B23" s="35">
        <v>46053</v>
      </c>
      <c r="C23" s="36" t="s">
        <v>43</v>
      </c>
      <c r="D23" s="62"/>
      <c r="E23" s="36" t="s">
        <v>42</v>
      </c>
      <c r="F23" s="62"/>
      <c r="G23" s="37"/>
      <c r="H23" s="38"/>
      <c r="I23" s="39"/>
      <c r="J23" s="39"/>
      <c r="N23" s="40">
        <f>LOOKUP(C24,M1:M5,N1:N5)</f>
        <v>5</v>
      </c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21</v>
      </c>
      <c r="B24" s="35">
        <v>46053</v>
      </c>
      <c r="C24" s="36" t="s">
        <v>40</v>
      </c>
      <c r="D24" s="62"/>
      <c r="E24" s="36" t="s">
        <v>44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22</v>
      </c>
      <c r="B25" s="35">
        <v>46054</v>
      </c>
      <c r="C25" s="36" t="s">
        <v>43</v>
      </c>
      <c r="D25" s="62"/>
      <c r="E25" s="36" t="s">
        <v>40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23</v>
      </c>
      <c r="B26" s="35">
        <v>46054</v>
      </c>
      <c r="C26" s="36" t="s">
        <v>44</v>
      </c>
      <c r="D26" s="62"/>
      <c r="E26" s="36" t="s">
        <v>42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24</v>
      </c>
      <c r="B27" s="35">
        <v>46060</v>
      </c>
      <c r="C27" s="36" t="s">
        <v>45</v>
      </c>
      <c r="D27" s="62"/>
      <c r="E27" s="36" t="s">
        <v>40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25</v>
      </c>
      <c r="B28" s="35">
        <v>46060</v>
      </c>
      <c r="C28" s="36" t="s">
        <v>44</v>
      </c>
      <c r="D28" s="62"/>
      <c r="E28" s="36" t="s">
        <v>43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26</v>
      </c>
      <c r="B29" s="35">
        <v>46066</v>
      </c>
      <c r="C29" s="36" t="s">
        <v>45</v>
      </c>
      <c r="D29" s="62"/>
      <c r="E29" s="36" t="s">
        <v>44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>
        <v>27</v>
      </c>
      <c r="B30" s="35">
        <v>46068</v>
      </c>
      <c r="C30" s="36" t="s">
        <v>44</v>
      </c>
      <c r="D30" s="62"/>
      <c r="E30" s="36" t="s">
        <v>45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/>
      <c r="B31" s="35"/>
      <c r="C31" s="36"/>
      <c r="D31" s="62"/>
      <c r="E31" s="36"/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/>
      <c r="B32" s="35"/>
      <c r="C32" s="36"/>
      <c r="D32" s="62"/>
      <c r="E32" s="36"/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/>
      <c r="B33" s="35"/>
      <c r="C33" s="36"/>
      <c r="D33" s="62"/>
      <c r="E33" s="36"/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/>
      <c r="B34" s="35"/>
      <c r="C34" s="36"/>
      <c r="D34" s="62"/>
      <c r="E34" s="36"/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/>
      <c r="B35" s="35"/>
      <c r="C35" s="36"/>
      <c r="D35" s="62"/>
      <c r="E35" s="36"/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/>
      <c r="B36" s="35"/>
      <c r="C36" s="36"/>
      <c r="D36" s="62"/>
      <c r="E36" s="36"/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/>
      <c r="B37" s="35"/>
      <c r="C37" s="36"/>
      <c r="D37" s="62"/>
      <c r="E37" s="36"/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/>
      <c r="B38" s="35"/>
      <c r="C38" s="36"/>
      <c r="D38" s="62"/>
      <c r="E38" s="36"/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/>
      <c r="B39" s="35"/>
      <c r="C39" s="36"/>
      <c r="D39" s="62"/>
      <c r="E39" s="36"/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/>
      <c r="B40" s="35"/>
      <c r="C40" s="36"/>
      <c r="D40" s="62"/>
      <c r="E40" s="36"/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/>
      <c r="B41" s="35"/>
      <c r="C41" s="36"/>
      <c r="D41" s="62"/>
      <c r="E41" s="36"/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/>
      <c r="B42" s="35"/>
      <c r="C42" s="36"/>
      <c r="D42" s="62"/>
      <c r="E42" s="36"/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/>
      <c r="B43" s="35"/>
      <c r="C43" s="36"/>
      <c r="D43" s="62"/>
      <c r="E43" s="36"/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/>
      <c r="B44" s="35"/>
      <c r="C44" s="36"/>
      <c r="D44" s="62"/>
      <c r="E44" s="36"/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3">
      <c r="A46" s="103" t="s">
        <v>46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3">
      <c r="A47" s="34"/>
      <c r="B47" s="35"/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/>
      <c r="B48" s="35"/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" thickBot="1" x14ac:dyDescent="0.35">
      <c r="A49" s="52"/>
      <c r="B49" s="53"/>
      <c r="C49" s="54"/>
      <c r="D49" s="63"/>
      <c r="E49" s="54"/>
      <c r="F49" s="63"/>
      <c r="G49" s="55"/>
      <c r="H49" s="38"/>
      <c r="I49" s="39"/>
      <c r="J49" s="39"/>
    </row>
    <row r="50" spans="1:10" x14ac:dyDescent="0.3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3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3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3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3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3">
      <c r="C81" s="21"/>
      <c r="D81" s="65"/>
      <c r="E81" s="21"/>
      <c r="F81" s="65"/>
    </row>
    <row r="82" spans="3:8" x14ac:dyDescent="0.3">
      <c r="H82">
        <f>D83+F83</f>
        <v>61</v>
      </c>
    </row>
    <row r="83" spans="3:8" x14ac:dyDescent="0.3">
      <c r="D83" s="61">
        <f>SUM(D3:D81)</f>
        <v>30</v>
      </c>
      <c r="F83" s="61">
        <f>SUM(F3:F81)</f>
        <v>31</v>
      </c>
    </row>
  </sheetData>
  <sortState xmlns:xlrd2="http://schemas.microsoft.com/office/spreadsheetml/2017/richdata2" ref="A6:G30">
    <sortCondition ref="B6:B3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2025-10-20T01:27:55Z</dcterms:modified>
</cp:coreProperties>
</file>