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36" documentId="13_ncr:1_{6D847147-14CC-4E2E-9F58-D0DC2A8D343C}" xr6:coauthVersionLast="47" xr6:coauthVersionMax="47" xr10:uidLastSave="{365B2049-04C7-433B-AA2E-FC851F0B606E}"/>
  <bookViews>
    <workbookView xWindow="-120" yWindow="-120" windowWidth="38640" windowHeight="211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<sst xmlns="http://schemas.openxmlformats.org/spreadsheetml/2006/main" count="152" uniqueCount="55">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</sst>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38</v>
      </c>
      <c r="D4" s="23">
        <v>5</v>
      </c>
      <c r="E4" s="23">
        <v>5</v>
      </c>
      <c r="F4" s="23">
        <v>0</v>
      </c>
      <c r="G4" s="23">
        <v>0</v>
      </c>
      <c r="H4" s="58">
        <v>10</v>
      </c>
      <c r="I4" s="23">
        <v>36</v>
      </c>
      <c r="J4" s="60">
        <v>12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34</v>
      </c>
      <c r="D5" s="23">
        <v>5</v>
      </c>
      <c r="E5" s="23">
        <v>4</v>
      </c>
      <c r="F5" s="23">
        <v>1</v>
      </c>
      <c r="G5" s="23">
        <v>0</v>
      </c>
      <c r="H5" s="58">
        <v>8</v>
      </c>
      <c r="I5" s="23">
        <v>57</v>
      </c>
      <c r="J5" s="60">
        <v>10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19</v>
      </c>
      <c r="D6" s="23">
        <v>4</v>
      </c>
      <c r="E6" s="23">
        <v>2</v>
      </c>
      <c r="F6" s="23">
        <v>2</v>
      </c>
      <c r="G6" s="23">
        <v>0</v>
      </c>
      <c r="H6" s="58">
        <v>4</v>
      </c>
      <c r="I6" s="23">
        <v>18</v>
      </c>
      <c r="J6" s="60">
        <v>23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43</v>
      </c>
      <c r="D7" s="23">
        <v>5</v>
      </c>
      <c r="E7" s="23">
        <v>1</v>
      </c>
      <c r="F7" s="23">
        <v>4</v>
      </c>
      <c r="G7" s="23">
        <v>0</v>
      </c>
      <c r="H7" s="58">
        <v>2</v>
      </c>
      <c r="I7" s="23">
        <v>8</v>
      </c>
      <c r="J7" s="60">
        <v>45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40</v>
      </c>
      <c r="D8" s="23">
        <v>3</v>
      </c>
      <c r="E8" s="23">
        <v>0</v>
      </c>
      <c r="F8" s="23">
        <v>2</v>
      </c>
      <c r="G8" s="23">
        <v>1</v>
      </c>
      <c r="H8" s="58">
        <v>1</v>
      </c>
      <c r="I8" s="23">
        <v>6</v>
      </c>
      <c r="J8" s="60">
        <v>14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41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">
      <c r="A10" s="85"/>
      <c r="B10" s="57">
        <v>7</v>
      </c>
      <c r="C10" s="76" t="s">
        <v>45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6</v>
      </c>
      <c r="J10" s="79">
        <v>27</v>
      </c>
      <c r="K10" s="85"/>
      <c r="M10" t="s">
        <v>14</v>
      </c>
    </row>
    <row r="11" spans="1:16" ht="18" customHeight="1" thickBot="1" x14ac:dyDescent="0.3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14</v>
      </c>
    </row>
    <row r="13" spans="1:16" ht="15.75" x14ac:dyDescent="0.25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45964.620983796296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131</v>
      </c>
      <c r="J15" s="7">
        <f>SUM(J4:J12)</f>
        <v>131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5" sqref="A15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61" bestFit="1" customWidth="1"/>
    <col min="5" max="5" width="10.85546875" style="19" bestFit="1" customWidth="1"/>
    <col min="6" max="6" width="3.28515625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12</v>
      </c>
      <c r="U2" s="75"/>
    </row>
    <row r="3" spans="1:21" s="40" customFormat="1" ht="16.5" thickTop="1" thickBot="1" x14ac:dyDescent="0.3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1</v>
      </c>
      <c r="U3" s="45">
        <f>IF($T$2&gt;0, T3/$T$2, 0)</f>
        <v>8.3333333333333329E-2</v>
      </c>
    </row>
    <row r="4" spans="1:21" s="40" customFormat="1" ht="16.5" thickTop="1" thickBot="1" x14ac:dyDescent="0.3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1</v>
      </c>
      <c r="U4" s="45">
        <f>IF($T$2&gt;0, T4/$T$2, 0)</f>
        <v>8.3333333333333329E-2</v>
      </c>
    </row>
    <row r="5" spans="1:21" s="40" customFormat="1" ht="16.5" thickTop="1" thickBot="1" x14ac:dyDescent="0.3">
      <c r="A5" s="34">
        <v>4</v>
      </c>
      <c r="B5" s="35">
        <v>45941</v>
      </c>
      <c r="C5" s="36" t="s">
        <v>43</v>
      </c>
      <c r="D5" s="62">
        <v>2</v>
      </c>
      <c r="E5" s="36" t="s">
        <v>19</v>
      </c>
      <c r="F5" s="62">
        <v>7</v>
      </c>
      <c r="G5" s="37"/>
      <c r="H5" s="38" t="s">
        <v>50</v>
      </c>
      <c r="I5" s="39">
        <v>1</v>
      </c>
      <c r="J5" s="39"/>
      <c r="M5" s="42" t="s">
        <v>41</v>
      </c>
      <c r="N5" s="42">
        <v>5</v>
      </c>
      <c r="P5" s="43">
        <f t="shared" si="0"/>
        <v>-5</v>
      </c>
      <c r="Q5" s="40">
        <f t="shared" si="1"/>
        <v>5</v>
      </c>
      <c r="R5" s="44">
        <v>3</v>
      </c>
      <c r="S5" s="40" t="s">
        <v>27</v>
      </c>
      <c r="T5" s="40">
        <f>COUNTIF($Q$3:$Q$44,R5)</f>
        <v>1</v>
      </c>
      <c r="U5" s="45">
        <f>IF($T$2&gt;0, T5/$T$2, 0)</f>
        <v>8.3333333333333329E-2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43</v>
      </c>
      <c r="D6" s="62">
        <v>2</v>
      </c>
      <c r="E6" s="36" t="s">
        <v>38</v>
      </c>
      <c r="F6" s="62">
        <v>10</v>
      </c>
      <c r="G6" s="37"/>
      <c r="H6" s="38" t="s">
        <v>48</v>
      </c>
      <c r="I6" s="39">
        <v>4</v>
      </c>
      <c r="J6" s="39"/>
      <c r="M6" s="42" t="s">
        <v>39</v>
      </c>
      <c r="N6" s="42">
        <v>6</v>
      </c>
      <c r="P6" s="43">
        <f t="shared" si="0"/>
        <v>-8</v>
      </c>
      <c r="Q6" s="40">
        <f t="shared" si="1"/>
        <v>8</v>
      </c>
      <c r="R6" s="44">
        <v>4</v>
      </c>
      <c r="S6" s="40" t="s">
        <v>27</v>
      </c>
      <c r="T6" s="40">
        <f>COUNTIF($Q$3:$Q$44,R6)</f>
        <v>2</v>
      </c>
      <c r="U6" s="45">
        <f>IF($T$2&gt;0, T6/$T$2, 0)</f>
        <v>0.16666666666666666</v>
      </c>
    </row>
    <row r="7" spans="1:21" s="40" customFormat="1" ht="16.5" thickTop="1" thickBot="1" x14ac:dyDescent="0.3">
      <c r="A7" s="34">
        <v>6</v>
      </c>
      <c r="B7" s="35">
        <v>45947</v>
      </c>
      <c r="C7" s="36" t="s">
        <v>19</v>
      </c>
      <c r="D7" s="62">
        <v>1</v>
      </c>
      <c r="E7" s="36" t="s">
        <v>34</v>
      </c>
      <c r="F7" s="62">
        <v>8</v>
      </c>
      <c r="G7" s="37"/>
      <c r="H7" s="38" t="s">
        <v>51</v>
      </c>
      <c r="I7" s="39">
        <v>3</v>
      </c>
      <c r="J7" s="39"/>
      <c r="M7" s="42" t="s">
        <v>44</v>
      </c>
      <c r="N7" s="42">
        <v>7</v>
      </c>
      <c r="P7" s="43">
        <f t="shared" si="0"/>
        <v>-7</v>
      </c>
      <c r="Q7" s="40">
        <f t="shared" si="1"/>
        <v>7</v>
      </c>
      <c r="R7" s="46" t="s">
        <v>26</v>
      </c>
      <c r="S7" s="47" t="s">
        <v>27</v>
      </c>
      <c r="T7" s="47">
        <f>COUNTIF($Q$3:$Q$44,"&gt;=5")</f>
        <v>7</v>
      </c>
      <c r="U7" s="48">
        <f>IF($T$2&gt;0, T7/$T$2, 0)</f>
        <v>0.58333333333333337</v>
      </c>
    </row>
    <row r="8" spans="1:21" s="40" customFormat="1" ht="16.5" thickTop="1" thickBot="1" x14ac:dyDescent="0.3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6.5" thickTop="1" thickBot="1" x14ac:dyDescent="0.3">
      <c r="A9" s="34">
        <v>8</v>
      </c>
      <c r="B9" s="35">
        <v>45949</v>
      </c>
      <c r="C9" s="36" t="s">
        <v>38</v>
      </c>
      <c r="D9" s="62">
        <v>7</v>
      </c>
      <c r="E9" s="36" t="s">
        <v>34</v>
      </c>
      <c r="F9" s="62">
        <v>5</v>
      </c>
      <c r="G9" s="37"/>
      <c r="H9" s="38" t="s">
        <v>52</v>
      </c>
      <c r="I9" s="39">
        <v>3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6.5" thickTop="1" thickBot="1" x14ac:dyDescent="0.3">
      <c r="A10" s="34">
        <v>9</v>
      </c>
      <c r="B10" s="35">
        <v>45954</v>
      </c>
      <c r="C10" s="36" t="s">
        <v>19</v>
      </c>
      <c r="D10" s="62">
        <v>1</v>
      </c>
      <c r="E10" s="36" t="s">
        <v>38</v>
      </c>
      <c r="F10" s="62">
        <v>8</v>
      </c>
      <c r="G10" s="37"/>
      <c r="H10" s="38" t="s">
        <v>48</v>
      </c>
      <c r="I10" s="39">
        <v>4</v>
      </c>
      <c r="J10" s="39"/>
      <c r="M10" s="42"/>
      <c r="N10" s="42"/>
      <c r="P10" s="43">
        <f t="shared" si="0"/>
        <v>-7</v>
      </c>
      <c r="Q10" s="49">
        <f t="shared" si="1"/>
        <v>7</v>
      </c>
      <c r="U10" s="50"/>
    </row>
    <row r="11" spans="1:21" s="40" customFormat="1" ht="16.5" thickTop="1" thickBot="1" x14ac:dyDescent="0.3">
      <c r="A11" s="34">
        <v>10</v>
      </c>
      <c r="B11" s="35">
        <v>45955</v>
      </c>
      <c r="C11" s="36" t="s">
        <v>38</v>
      </c>
      <c r="D11" s="62">
        <v>5</v>
      </c>
      <c r="E11" s="36" t="s">
        <v>40</v>
      </c>
      <c r="F11" s="62">
        <v>2</v>
      </c>
      <c r="G11" s="37"/>
      <c r="H11" s="38" t="s">
        <v>52</v>
      </c>
      <c r="I11" s="39">
        <v>6</v>
      </c>
      <c r="J11" s="39"/>
      <c r="N11" s="42">
        <v>7</v>
      </c>
      <c r="P11" s="43">
        <f t="shared" si="0"/>
        <v>3</v>
      </c>
      <c r="Q11" s="49">
        <f t="shared" si="1"/>
        <v>3</v>
      </c>
      <c r="U11" s="51"/>
    </row>
    <row r="12" spans="1:21" s="40" customFormat="1" ht="15.75" thickTop="1" x14ac:dyDescent="0.25">
      <c r="A12" s="34">
        <v>11</v>
      </c>
      <c r="B12" s="35">
        <v>45955</v>
      </c>
      <c r="C12" s="36" t="s">
        <v>45</v>
      </c>
      <c r="D12" s="62">
        <v>5</v>
      </c>
      <c r="E12" s="36" t="s">
        <v>19</v>
      </c>
      <c r="F12" s="62">
        <v>9</v>
      </c>
      <c r="G12" s="37"/>
      <c r="H12" s="38" t="s">
        <v>50</v>
      </c>
      <c r="I12" s="39">
        <v>1</v>
      </c>
      <c r="J12" s="39"/>
      <c r="P12" s="43">
        <f t="shared" ref="P12:P18" si="2">D12-F12</f>
        <v>-4</v>
      </c>
      <c r="Q12" s="49">
        <f t="shared" ref="Q12:Q18" si="3">ABS(P12)</f>
        <v>4</v>
      </c>
    </row>
    <row r="13" spans="1:21" s="40" customFormat="1" x14ac:dyDescent="0.25">
      <c r="A13" s="34">
        <v>12</v>
      </c>
      <c r="B13" s="35">
        <v>45956</v>
      </c>
      <c r="C13" s="36" t="s">
        <v>34</v>
      </c>
      <c r="D13" s="62">
        <v>18</v>
      </c>
      <c r="E13" s="36" t="s">
        <v>45</v>
      </c>
      <c r="F13" s="62">
        <v>1</v>
      </c>
      <c r="G13" s="37"/>
      <c r="H13" s="38" t="s">
        <v>49</v>
      </c>
      <c r="I13" s="39">
        <v>7</v>
      </c>
      <c r="J13" s="39"/>
      <c r="P13" s="43">
        <f t="shared" si="2"/>
        <v>17</v>
      </c>
      <c r="Q13" s="49">
        <f t="shared" si="3"/>
        <v>17</v>
      </c>
    </row>
    <row r="14" spans="1:21" s="40" customFormat="1" x14ac:dyDescent="0.25">
      <c r="A14" s="34">
        <v>13</v>
      </c>
      <c r="B14" s="35">
        <v>45962</v>
      </c>
      <c r="C14" s="36" t="s">
        <v>43</v>
      </c>
      <c r="D14" s="62">
        <v>1</v>
      </c>
      <c r="E14" s="36" t="s">
        <v>34</v>
      </c>
      <c r="F14" s="62">
        <v>14</v>
      </c>
      <c r="G14" s="37"/>
      <c r="H14" s="38" t="s">
        <v>51</v>
      </c>
      <c r="I14" s="39">
        <v>3</v>
      </c>
      <c r="J14" s="39"/>
      <c r="P14" s="43">
        <f t="shared" si="2"/>
        <v>-13</v>
      </c>
      <c r="Q14" s="49">
        <f t="shared" si="3"/>
        <v>13</v>
      </c>
    </row>
    <row r="15" spans="1:21" s="40" customFormat="1" x14ac:dyDescent="0.25">
      <c r="A15" s="34">
        <v>14</v>
      </c>
      <c r="B15" s="35">
        <v>45963</v>
      </c>
      <c r="C15" s="36" t="s">
        <v>40</v>
      </c>
      <c r="D15" s="62">
        <v>2</v>
      </c>
      <c r="E15" s="36" t="s">
        <v>43</v>
      </c>
      <c r="F15" s="62">
        <v>3</v>
      </c>
      <c r="G15" s="37" t="s">
        <v>53</v>
      </c>
      <c r="H15" s="38" t="s">
        <v>54</v>
      </c>
      <c r="I15" s="39">
        <v>2</v>
      </c>
      <c r="J15" s="39"/>
      <c r="P15" s="43">
        <f t="shared" si="2"/>
        <v>-1</v>
      </c>
      <c r="Q15" s="49">
        <f t="shared" si="3"/>
        <v>1</v>
      </c>
    </row>
    <row r="16" spans="1:21" s="40" customFormat="1" x14ac:dyDescent="0.25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25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25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25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.75" thickBot="1" x14ac:dyDescent="0.3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25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25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25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25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25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25">
      <c r="C81" s="21"/>
      <c r="D81" s="65"/>
      <c r="E81" s="21"/>
      <c r="F81" s="65"/>
    </row>
    <row r="82" spans="3:8" x14ac:dyDescent="0.25">
      <c r="H82">
        <f>D83+F83</f>
        <v>131</v>
      </c>
    </row>
    <row r="83" spans="3:8" x14ac:dyDescent="0.25">
      <c r="D83" s="61">
        <f>SUM(D3:D81)</f>
        <v>58</v>
      </c>
      <c r="F83" s="61">
        <f>SUM(F3:F81)</f>
        <v>73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2025-11-03T19:54:23Z</dcterms:modified>
</cp:coreProperties>
</file>