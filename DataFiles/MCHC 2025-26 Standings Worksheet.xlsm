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38" documentId="13_ncr:1_{6D847147-14CC-4E2E-9F58-D0DC2A8D343C}" xr6:coauthVersionLast="47" xr6:coauthVersionMax="47" xr10:uidLastSave="{59CBE104-5DB1-4CCE-9ACA-2C1266B856B6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<sst xmlns="http://schemas.openxmlformats.org/spreadsheetml/2006/main" count="145" uniqueCount="53">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</sst>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9" sqref="S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38</v>
      </c>
      <c r="D4" s="23">
        <v>3</v>
      </c>
      <c r="E4" s="23">
        <v>3</v>
      </c>
      <c r="F4" s="23">
        <v>0</v>
      </c>
      <c r="G4" s="23">
        <v>0</v>
      </c>
      <c r="H4" s="58">
        <v>6</v>
      </c>
      <c r="I4" s="23">
        <v>23</v>
      </c>
      <c r="J4" s="60">
        <v>9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34</v>
      </c>
      <c r="D5" s="23">
        <v>3</v>
      </c>
      <c r="E5" s="23">
        <v>2</v>
      </c>
      <c r="F5" s="23">
        <v>1</v>
      </c>
      <c r="G5" s="23">
        <v>0</v>
      </c>
      <c r="H5" s="58">
        <v>4</v>
      </c>
      <c r="I5" s="23">
        <v>25</v>
      </c>
      <c r="J5" s="60">
        <v>8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19</v>
      </c>
      <c r="D6" s="23">
        <v>2</v>
      </c>
      <c r="E6" s="23">
        <v>1</v>
      </c>
      <c r="F6" s="23">
        <v>1</v>
      </c>
      <c r="G6" s="23">
        <v>0</v>
      </c>
      <c r="H6" s="58">
        <v>2</v>
      </c>
      <c r="I6" s="23">
        <v>8</v>
      </c>
      <c r="J6" s="60">
        <v>10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41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6</v>
      </c>
      <c r="K9" s="85"/>
    </row>
    <row r="10" spans="1:16" ht="18" customHeight="1" thickBot="1" x14ac:dyDescent="0.35">
      <c r="A10" s="85"/>
      <c r="B10" s="57">
        <v>7</v>
      </c>
      <c r="C10" s="76" t="s">
        <v>43</v>
      </c>
      <c r="D10" s="77">
        <v>3</v>
      </c>
      <c r="E10" s="77">
        <v>0</v>
      </c>
      <c r="F10" s="77">
        <v>3</v>
      </c>
      <c r="G10" s="77">
        <v>0</v>
      </c>
      <c r="H10" s="78">
        <v>0</v>
      </c>
      <c r="I10" s="77">
        <v>4</v>
      </c>
      <c r="J10" s="79">
        <v>29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8</v>
      </c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45949.894988425927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62</v>
      </c>
      <c r="J15" s="7">
        <f>SUM(J4:J12)</f>
        <v>62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A9" sqref="A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61" bestFit="1" customWidth="1"/>
    <col min="5" max="5" width="10.88671875" style="19" bestFit="1" customWidth="1"/>
    <col min="6" max="6" width="3.3320312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6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1</v>
      </c>
      <c r="U4" s="45">
        <f>IF($T$2&gt;0, T4/$T$2, 0)</f>
        <v>0.16666666666666666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>
        <v>2</v>
      </c>
      <c r="E6" s="36" t="s">
        <v>38</v>
      </c>
      <c r="F6" s="62">
        <v>10</v>
      </c>
      <c r="G6" s="37"/>
      <c r="H6" s="38" t="s">
        <v>48</v>
      </c>
      <c r="I6" s="39">
        <v>4</v>
      </c>
      <c r="J6" s="39"/>
      <c r="M6" s="42" t="s">
        <v>39</v>
      </c>
      <c r="N6" s="42">
        <v>6</v>
      </c>
      <c r="P6" s="43">
        <f t="shared" si="0"/>
        <v>-8</v>
      </c>
      <c r="Q6" s="40">
        <f t="shared" si="1"/>
        <v>8</v>
      </c>
      <c r="R6" s="44">
        <v>4</v>
      </c>
      <c r="S6" s="40" t="s">
        <v>27</v>
      </c>
      <c r="T6" s="40">
        <f>COUNTIF($Q$3:$Q$44,R6)</f>
        <v>1</v>
      </c>
      <c r="U6" s="45">
        <f>IF($T$2&gt;0, T6/$T$2, 0)</f>
        <v>0.16666666666666666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>
        <v>1</v>
      </c>
      <c r="E7" s="36" t="s">
        <v>34</v>
      </c>
      <c r="F7" s="62">
        <v>8</v>
      </c>
      <c r="G7" s="37"/>
      <c r="H7" s="38" t="s">
        <v>51</v>
      </c>
      <c r="I7" s="39">
        <v>3</v>
      </c>
      <c r="J7" s="39"/>
      <c r="M7" s="42" t="s">
        <v>44</v>
      </c>
      <c r="N7" s="42">
        <v>7</v>
      </c>
      <c r="P7" s="43">
        <f t="shared" si="0"/>
        <v>-7</v>
      </c>
      <c r="Q7" s="40">
        <f t="shared" si="1"/>
        <v>7</v>
      </c>
      <c r="R7" s="46" t="s">
        <v>26</v>
      </c>
      <c r="S7" s="47" t="s">
        <v>27</v>
      </c>
      <c r="T7" s="47">
        <f>COUNTIF($Q$3:$Q$44,"&gt;=5")</f>
        <v>4</v>
      </c>
      <c r="U7" s="48">
        <f>IF($T$2&gt;0, T7/$T$2, 0)</f>
        <v>0.66666666666666663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>
        <v>7</v>
      </c>
      <c r="E9" s="36" t="s">
        <v>34</v>
      </c>
      <c r="F9" s="62">
        <v>5</v>
      </c>
      <c r="G9" s="37"/>
      <c r="H9" s="38" t="s">
        <v>52</v>
      </c>
      <c r="I9" s="39">
        <v>3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62</v>
      </c>
    </row>
    <row r="83" spans="3:8" x14ac:dyDescent="0.3">
      <c r="D83" s="61">
        <f>SUM(D3:D81)</f>
        <v>26</v>
      </c>
      <c r="F83" s="61">
        <f>SUM(F3:F81)</f>
        <v>36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2025-10-20T01:29:03Z</dcterms:modified>
</cp:coreProperties>
</file>