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91" documentId="13_ncr:1_{6D847147-14CC-4E2E-9F58-D0DC2A8D343C}" xr6:coauthVersionLast="47" xr6:coauthVersionMax="47" xr10:uidLastSave="{03AC1FD9-0FF1-4267-9A59-D29CE8FE2597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<sst xmlns="http://schemas.openxmlformats.org/spreadsheetml/2006/main" count="166" uniqueCount="61">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</sst>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C23" sqref="C2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0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40</v>
      </c>
      <c r="D6" s="23">
        <v>8</v>
      </c>
      <c r="E6" s="23">
        <v>3</v>
      </c>
      <c r="F6" s="23">
        <v>4</v>
      </c>
      <c r="G6" s="23">
        <v>1</v>
      </c>
      <c r="H6" s="50">
        <v>7</v>
      </c>
      <c r="I6" s="23">
        <v>20</v>
      </c>
      <c r="J6" s="52">
        <v>55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19</v>
      </c>
      <c r="D7" s="23">
        <v>6</v>
      </c>
      <c r="E7" s="23">
        <v>3</v>
      </c>
      <c r="F7" s="23">
        <v>3</v>
      </c>
      <c r="G7" s="23">
        <v>0</v>
      </c>
      <c r="H7" s="50">
        <v>6</v>
      </c>
      <c r="I7" s="23">
        <v>24</v>
      </c>
      <c r="J7" s="52">
        <v>31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6</v>
      </c>
      <c r="E8" s="23">
        <v>1</v>
      </c>
      <c r="F8" s="23">
        <v>4</v>
      </c>
      <c r="G8" s="23">
        <v>1</v>
      </c>
      <c r="H8" s="50">
        <v>3</v>
      </c>
      <c r="I8" s="23">
        <v>12</v>
      </c>
      <c r="J8" s="52">
        <v>30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4</v>
      </c>
      <c r="E9" s="23">
        <v>1</v>
      </c>
      <c r="F9" s="23">
        <v>3</v>
      </c>
      <c r="G9" s="23">
        <v>0</v>
      </c>
      <c r="H9" s="50">
        <v>2</v>
      </c>
      <c r="I9" s="23">
        <v>13</v>
      </c>
      <c r="J9" s="52">
        <v>22</v>
      </c>
      <c r="K9" s="9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6</v>
      </c>
      <c r="E10" s="23">
        <v>0</v>
      </c>
      <c r="F10" s="23">
        <v>5</v>
      </c>
      <c r="G10" s="23">
        <v>1</v>
      </c>
      <c r="H10" s="50">
        <v>1</v>
      </c>
      <c r="I10" s="23">
        <v>15</v>
      </c>
      <c r="J10" s="52">
        <v>69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25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46034.916192129633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234</v>
      </c>
      <c r="J15" s="7">
        <f>SUM(J4:J12)</f>
        <v>234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7" zoomScaleNormal="100" workbookViewId="0">
      <selection activeCell="M35" sqref="M3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23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3</v>
      </c>
      <c r="U3" s="41">
        <f>IF($T$2&gt;0, T3/$T$2, 0)</f>
        <v>0.13043478260869565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8.6956521739130432E-2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0.13043478260869565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0.13043478260869565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12</v>
      </c>
      <c r="U7" s="44">
        <f>IF($T$2&gt;0, T7/$T$2, 0)</f>
        <v>0.52173913043478259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/>
      <c r="E26" s="68" t="s">
        <v>38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/>
      <c r="E27" s="68" t="s">
        <v>42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/>
      <c r="E28" s="68" t="s">
        <v>31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/>
      <c r="E29" s="68" t="s">
        <v>37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/>
      <c r="E30" s="68" t="s">
        <v>40</v>
      </c>
      <c r="F30" s="69"/>
      <c r="G30" s="70"/>
      <c r="H30" s="34"/>
      <c r="I30" s="35"/>
      <c r="J30" s="35"/>
      <c r="P30" s="39">
        <f t="shared" ref="P30:P37" si="4">D30-F30</f>
        <v>0</v>
      </c>
      <c r="Q30" s="45">
        <f t="shared" ref="Q30:Q37" si="5">ABS(P30)</f>
        <v>0</v>
      </c>
    </row>
    <row r="31" spans="1:21" s="36" customFormat="1" x14ac:dyDescent="0.3">
      <c r="A31" s="66">
        <v>30</v>
      </c>
      <c r="B31" s="67">
        <v>46047</v>
      </c>
      <c r="C31" s="68" t="s">
        <v>19</v>
      </c>
      <c r="D31" s="69"/>
      <c r="E31" s="68" t="s">
        <v>42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x14ac:dyDescent="0.3">
      <c r="A32" s="66">
        <v>31</v>
      </c>
      <c r="B32" s="67">
        <v>46053</v>
      </c>
      <c r="C32" s="68" t="s">
        <v>31</v>
      </c>
      <c r="D32" s="69"/>
      <c r="E32" s="68" t="s">
        <v>35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7" s="36" customFormat="1" x14ac:dyDescent="0.3">
      <c r="A33" s="66">
        <v>32</v>
      </c>
      <c r="B33" s="67">
        <v>46053</v>
      </c>
      <c r="C33" s="68" t="s">
        <v>40</v>
      </c>
      <c r="D33" s="69"/>
      <c r="E33" s="68" t="s">
        <v>37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3">
      <c r="A34" s="66">
        <v>33</v>
      </c>
      <c r="B34" s="67">
        <v>46053</v>
      </c>
      <c r="C34" s="68" t="s">
        <v>38</v>
      </c>
      <c r="D34" s="69"/>
      <c r="E34" s="68" t="s">
        <v>42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3">
      <c r="A35" s="66">
        <v>22</v>
      </c>
      <c r="B35" s="67">
        <v>46059</v>
      </c>
      <c r="C35" s="68" t="s">
        <v>19</v>
      </c>
      <c r="D35" s="69"/>
      <c r="E35" s="68" t="s">
        <v>37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3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234</v>
      </c>
    </row>
    <row r="83" spans="3:8" x14ac:dyDescent="0.3">
      <c r="D83" s="53">
        <f>SUM(D3:D81)</f>
        <v>113</v>
      </c>
      <c r="F83" s="53">
        <f>SUM(F3:F81)</f>
        <v>121</v>
      </c>
    </row>
  </sheetData>
  <sortState xmlns:xlrd2="http://schemas.microsoft.com/office/spreadsheetml/2017/richdata2" ref="A8:U29">
    <sortCondition ref="B8:B29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2026-01-13T02:59:40Z</dcterms:modified>
</cp:coreProperties>
</file>