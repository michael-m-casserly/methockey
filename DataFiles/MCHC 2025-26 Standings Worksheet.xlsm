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3800" documentId="13_ncr:1_{6D847147-14CC-4E2E-9F58-D0DC2A8D343C}" xr6:coauthVersionLast="47" xr6:coauthVersionMax="47" xr10:uidLastSave="{82C3BB0D-52B1-4434-9636-6D14F4C9F173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O35" i="1" l="1"/>
  <c r="N22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3" i="1"/>
  <c r="Q33" i="1" s="1"/>
  <c r="P32" i="1"/>
  <c r="Q32" i="1" s="1"/>
  <c r="P31" i="1"/>
  <c r="Q31" i="1" s="1"/>
  <c r="P41" i="1"/>
  <c r="Q41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35" i="1"/>
  <c r="Q35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3" i="1"/>
  <c r="Q13" i="1" s="1"/>
  <c r="P34" i="1"/>
  <c r="Q34" i="1" s="1"/>
  <c r="P12" i="1"/>
  <c r="Q12" i="1" s="1"/>
  <c r="P11" i="1"/>
  <c r="Q11" i="1" s="1"/>
  <c r="P30" i="1"/>
  <c r="Q30" i="1" s="1"/>
  <c r="P10" i="1"/>
  <c r="Q10" i="1" s="1"/>
  <c r="P9" i="1"/>
  <c r="Q9" i="1" s="1"/>
  <c r="P8" i="1"/>
  <c r="Q8" i="1" s="1"/>
  <c r="P29" i="1"/>
  <c r="Q29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2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<sst xmlns="http://schemas.openxmlformats.org/spreadsheetml/2006/main" count="176" uniqueCount="66">
  <si>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</si>
  <si>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</si>
  <si>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</si>
  <si>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</si>
  <si>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</si>
  <si>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</si>
  <si>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</si>
  <si>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</si>
  <si>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</si>
  <si>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</si>
  <si>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</si>
  <si>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</si>
  <si>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</si>
  <si>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</si>
  <si>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</si>
  <si>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</si>
  <si>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</si>
  <si>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</si>
  <si>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</si>
  <si>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</si>
  <si>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</si>
  <si>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</si>
  <si>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</si>
  <si>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</si>
  <si>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</si>
  <si>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</si>
  <si>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</si>
  <si>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</si>
  <si>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</si>
  <si>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</si>
  <si>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</si>
  <si>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</si>
  <si>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</si>
  <si>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</si>
  <si>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</si>
  <si>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</si>
  <si>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</si>
  <si>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</si>
  <si>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</si>
  <si>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</si>
  <si>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</si>
  <si>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</si>
  <si>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</si>
  <si>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</si>
  <si>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</si>
  <si>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</si>
  <si>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</si>
  <si>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</si>
  <si>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</si>
  <si>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</si>
  <si>
    <t>*</t>
  </si>
  <si>
    <t>NJIT in OT/SO</t>
  </si>
  <si>
    <t>**</t>
  </si>
  <si>
    <t>Maritime in OT/SO</t>
  </si>
  <si>
    <t>M1</t>
  </si>
  <si>
    <t>M2</t>
  </si>
  <si>
    <t>MC</t>
  </si>
  <si>
    <t>NJIT (Away) Wins</t>
  </si>
  <si>
    <t>USMMA (Home) Wins</t>
  </si>
  <si>
    <t>WestConn (Away) Wins</t>
  </si>
  <si>
    <t>px</t>
  </si>
  <si>
    <t>Maritime (Away) Wins</t>
  </si>
  <si>
    <t>NJIT (Home) Wins</t>
  </si>
  <si>
    <t>Yeshiva (Away) Wins</t>
  </si>
  <si>
    <t>WestConn (Home) Wins</t>
  </si>
  <si>
    <t>USMMA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</si>
</sst>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4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64" fontId="8" fillId="2" borderId="40" xfId="0" applyNumberFormat="1" applyFont="1" applyFill="1" applyBorder="1" applyAlignment="1">
      <alignment horizontal="center" vertical="center"/>
    </xf>
    <xf numFmtId="0" fontId="18" fillId="2" borderId="40" xfId="2" applyFont="1" applyFill="1" applyBorder="1" applyAlignment="1">
      <alignment horizontal="center" vertical="center"/>
    </xf>
    <xf numFmtId="0" fontId="25" fillId="2" borderId="40" xfId="0" applyFont="1" applyFill="1" applyBorder="1" applyAlignment="1">
      <alignment horizontal="center" vertical="center"/>
    </xf>
    <xf numFmtId="0" fontId="9" fillId="2" borderId="41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bestFit="1" customWidth="1"/>
    <col min="8" max="8" width="3.44140625" bestFit="1" customWidth="1"/>
    <col min="9" max="9" width="4.6640625" customWidth="1"/>
    <col min="10" max="10" width="4.88671875" customWidth="1"/>
    <col min="11" max="11" width="2.88671875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L1">
        <f>SUM(C1:J1)</f>
        <v>280</v>
      </c>
      <c r="M1" t="s">
        <v>60</v>
      </c>
    </row>
    <row r="2" spans="1:16" s="2" customFormat="1" ht="12" customHeight="1" thickBot="1" x14ac:dyDescent="0.35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</row>
    <row r="3" spans="1:16" ht="18" x14ac:dyDescent="0.3">
      <c r="A3" s="91"/>
      <c r="B3" s="56"/>
      <c r="C3" s="56" t="s">
        <v>2</v>
      </c>
      <c r="D3" s="57" t="s">
        <v>23</v>
      </c>
      <c r="E3" s="57" t="s">
        <v>21</v>
      </c>
      <c r="F3" s="57" t="s">
        <v>22</v>
      </c>
      <c r="G3" s="57" t="s">
        <v>33</v>
      </c>
      <c r="H3" s="57" t="s">
        <v>34</v>
      </c>
      <c r="I3" s="57" t="s">
        <v>3</v>
      </c>
      <c r="J3" s="58" t="s">
        <v>4</v>
      </c>
      <c r="K3" s="1"/>
      <c r="M3" s="86" t="s">
        <v>10</v>
      </c>
      <c r="N3" s="87"/>
      <c r="O3" s="87"/>
      <c r="P3" s="87"/>
    </row>
    <row r="4" spans="1:16" ht="18" customHeight="1" x14ac:dyDescent="0.3">
      <c r="A4" s="91"/>
      <c r="B4" s="49">
        <v>1</v>
      </c>
      <c r="C4" s="51" t="s">
        <v>31</v>
      </c>
      <c r="D4" s="23">
        <v>10</v>
      </c>
      <c r="E4" s="23">
        <v>9</v>
      </c>
      <c r="F4" s="23">
        <v>1</v>
      </c>
      <c r="G4" s="23">
        <v>0</v>
      </c>
      <c r="H4" s="50">
        <v>18</v>
      </c>
      <c r="I4" s="23">
        <v>108</v>
      </c>
      <c r="J4" s="52">
        <v>17</v>
      </c>
      <c r="K4" s="1"/>
      <c r="M4" s="4">
        <v>1</v>
      </c>
      <c r="N4" t="s">
        <v>11</v>
      </c>
    </row>
    <row r="5" spans="1:16" ht="18" customHeight="1" x14ac:dyDescent="0.3">
      <c r="A5" s="91"/>
      <c r="B5" s="49">
        <v>2</v>
      </c>
      <c r="C5" s="51" t="s">
        <v>35</v>
      </c>
      <c r="D5" s="23">
        <v>9</v>
      </c>
      <c r="E5" s="23">
        <v>8</v>
      </c>
      <c r="F5" s="23">
        <v>1</v>
      </c>
      <c r="G5" s="23">
        <v>0</v>
      </c>
      <c r="H5" s="50">
        <v>16</v>
      </c>
      <c r="I5" s="23">
        <v>66</v>
      </c>
      <c r="J5" s="52">
        <v>25</v>
      </c>
      <c r="K5" s="1"/>
      <c r="M5" s="4">
        <v>2</v>
      </c>
      <c r="N5" t="s">
        <v>12</v>
      </c>
    </row>
    <row r="6" spans="1:16" ht="18" customHeight="1" x14ac:dyDescent="0.3">
      <c r="A6" s="91"/>
      <c r="B6" s="49">
        <v>3</v>
      </c>
      <c r="C6" s="51" t="s">
        <v>19</v>
      </c>
      <c r="D6" s="23">
        <v>9</v>
      </c>
      <c r="E6" s="23">
        <v>6</v>
      </c>
      <c r="F6" s="23">
        <v>3</v>
      </c>
      <c r="G6" s="23">
        <v>0</v>
      </c>
      <c r="H6" s="50">
        <v>12</v>
      </c>
      <c r="I6" s="23">
        <v>45</v>
      </c>
      <c r="J6" s="52">
        <v>39</v>
      </c>
      <c r="K6" s="1"/>
      <c r="M6" s="4">
        <v>3</v>
      </c>
      <c r="N6" t="s">
        <v>13</v>
      </c>
    </row>
    <row r="7" spans="1:16" ht="18" customHeight="1" x14ac:dyDescent="0.3">
      <c r="A7" s="91"/>
      <c r="B7" s="49">
        <v>4</v>
      </c>
      <c r="C7" s="51" t="s">
        <v>40</v>
      </c>
      <c r="D7" s="23">
        <v>10</v>
      </c>
      <c r="E7" s="23">
        <v>4</v>
      </c>
      <c r="F7" s="23">
        <v>5</v>
      </c>
      <c r="G7" s="23">
        <v>1</v>
      </c>
      <c r="H7" s="50">
        <v>9</v>
      </c>
      <c r="I7" s="23">
        <v>25</v>
      </c>
      <c r="J7" s="52">
        <v>60</v>
      </c>
      <c r="K7" s="1"/>
      <c r="M7" s="4">
        <v>4</v>
      </c>
      <c r="N7" t="s">
        <v>15</v>
      </c>
    </row>
    <row r="8" spans="1:16" ht="18" customHeight="1" x14ac:dyDescent="0.3">
      <c r="A8" s="91"/>
      <c r="B8" s="49">
        <v>5</v>
      </c>
      <c r="C8" s="51" t="s">
        <v>37</v>
      </c>
      <c r="D8" s="23">
        <v>10</v>
      </c>
      <c r="E8" s="23">
        <v>3</v>
      </c>
      <c r="F8" s="23">
        <v>6</v>
      </c>
      <c r="G8" s="23">
        <v>1</v>
      </c>
      <c r="H8" s="50">
        <v>7</v>
      </c>
      <c r="I8" s="23">
        <v>25</v>
      </c>
      <c r="J8" s="52">
        <v>51</v>
      </c>
      <c r="K8" s="1"/>
      <c r="M8" s="4">
        <v>5</v>
      </c>
      <c r="N8" t="s">
        <v>17</v>
      </c>
    </row>
    <row r="9" spans="1:16" ht="18" customHeight="1" x14ac:dyDescent="0.3">
      <c r="A9" s="91"/>
      <c r="B9" s="49">
        <v>6</v>
      </c>
      <c r="C9" s="51" t="s">
        <v>38</v>
      </c>
      <c r="D9" s="23">
        <v>8</v>
      </c>
      <c r="E9" s="23">
        <v>2</v>
      </c>
      <c r="F9" s="23">
        <v>6</v>
      </c>
      <c r="G9" s="23">
        <v>0</v>
      </c>
      <c r="H9" s="50">
        <v>4</v>
      </c>
      <c r="I9" s="23">
        <v>24</v>
      </c>
      <c r="J9" s="52">
        <v>44</v>
      </c>
      <c r="K9" s="1"/>
    </row>
    <row r="10" spans="1:16" ht="18" customHeight="1" thickBot="1" x14ac:dyDescent="0.35">
      <c r="A10" s="91"/>
      <c r="B10" s="49">
        <v>7</v>
      </c>
      <c r="C10" s="51" t="s">
        <v>42</v>
      </c>
      <c r="D10" s="23">
        <v>10</v>
      </c>
      <c r="E10" s="23">
        <v>1</v>
      </c>
      <c r="F10" s="23">
        <v>8</v>
      </c>
      <c r="G10" s="23">
        <v>1</v>
      </c>
      <c r="H10" s="50">
        <v>3</v>
      </c>
      <c r="I10" s="23">
        <v>38</v>
      </c>
      <c r="J10" s="52">
        <v>95</v>
      </c>
      <c r="K10" s="1"/>
      <c r="M10" t="s">
        <v>14</v>
      </c>
    </row>
    <row r="11" spans="1:16" ht="18" hidden="1" customHeight="1" thickBot="1" x14ac:dyDescent="0.35">
      <c r="A11" s="91"/>
      <c r="B11" s="49"/>
      <c r="C11" s="99"/>
      <c r="D11" s="100"/>
      <c r="E11" s="100"/>
      <c r="F11" s="100"/>
      <c r="G11" s="100"/>
      <c r="H11" s="100"/>
      <c r="I11" s="100"/>
      <c r="J11" s="101"/>
      <c r="K11" s="1"/>
    </row>
    <row r="12" spans="1:16" ht="16.8" thickTop="1" thickBot="1" x14ac:dyDescent="0.35">
      <c r="A12" s="91"/>
      <c r="B12" s="49"/>
      <c r="C12" s="102"/>
      <c r="D12" s="103"/>
      <c r="E12" s="103"/>
      <c r="F12" s="103"/>
      <c r="G12" s="103"/>
      <c r="H12" s="103"/>
      <c r="I12" s="103"/>
      <c r="J12" s="104"/>
      <c r="K12" s="1"/>
      <c r="M12" s="88" t="s">
        <v>16</v>
      </c>
      <c r="N12" s="88"/>
      <c r="O12" s="88"/>
      <c r="P12" s="5">
        <v>33</v>
      </c>
    </row>
    <row r="13" spans="1:16" ht="15.6" x14ac:dyDescent="0.3">
      <c r="A13" s="1"/>
      <c r="B13" s="48"/>
      <c r="C13" s="94" t="s">
        <v>39</v>
      </c>
      <c r="D13" s="95"/>
      <c r="E13" s="95"/>
      <c r="F13" s="95"/>
      <c r="G13" s="92" cm="1">
        <f t="array" aca="1" ref="G13" ca="1">LastModified()</f>
        <v>46054.855347222219</v>
      </c>
      <c r="H13" s="92"/>
      <c r="I13" s="92"/>
      <c r="J13" s="93"/>
      <c r="K13" s="1"/>
      <c r="M13" s="32"/>
      <c r="N13" s="32"/>
      <c r="O13" s="32"/>
    </row>
    <row r="14" spans="1:16" ht="52.95" customHeight="1" thickBot="1" x14ac:dyDescent="0.35">
      <c r="B14" s="33"/>
      <c r="C14" s="96" t="s">
        <v>43</v>
      </c>
      <c r="D14" s="97"/>
      <c r="E14" s="97"/>
      <c r="F14" s="97"/>
      <c r="G14" s="97"/>
      <c r="H14" s="97"/>
      <c r="I14" s="97"/>
      <c r="J14" s="98"/>
    </row>
    <row r="15" spans="1:16" x14ac:dyDescent="0.3">
      <c r="G15" s="89" t="s">
        <v>18</v>
      </c>
      <c r="H15" s="89"/>
      <c r="I15" s="7">
        <f>SUM(I4:I12)</f>
        <v>331</v>
      </c>
      <c r="J15" s="7">
        <f>SUM(J4:J12)</f>
        <v>331</v>
      </c>
    </row>
  </sheetData>
  <sortState xmlns:xlrd2="http://schemas.microsoft.com/office/spreadsheetml/2017/richdata2" ref="C4:K10">
    <sortCondition descending="1" ref="H4:H10"/>
    <sortCondition descending="1" ref="E4:E10"/>
    <sortCondition ref="D4:D10"/>
    <sortCondition descending="1" ref="I4:I10"/>
    <sortCondition ref="J4:J10"/>
  </sortState>
  <mergeCells count="10">
    <mergeCell ref="M3:P3"/>
    <mergeCell ref="M12:O12"/>
    <mergeCell ref="G15:H15"/>
    <mergeCell ref="A2:K2"/>
    <mergeCell ref="A3:A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topLeftCell="A16" zoomScaleNormal="100" workbookViewId="0">
      <selection activeCell="A35" sqref="A35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3" bestFit="1" customWidth="1"/>
    <col min="5" max="5" width="10.88671875" style="19" bestFit="1" customWidth="1"/>
    <col min="6" max="6" width="3.33203125" style="53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32</v>
      </c>
      <c r="R1" s="105" t="s">
        <v>28</v>
      </c>
      <c r="S1" s="106"/>
      <c r="T1" s="63">
        <f>MAX(A:A)</f>
        <v>42</v>
      </c>
      <c r="U1" s="62"/>
    </row>
    <row r="2" spans="1:21" ht="15.6" thickTop="1" thickBot="1" x14ac:dyDescent="0.35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24</v>
      </c>
      <c r="Q2" s="18" t="s">
        <v>25</v>
      </c>
      <c r="R2" s="107" t="s">
        <v>29</v>
      </c>
      <c r="S2" s="108"/>
      <c r="T2" s="64">
        <f>SUM(T3:T7)</f>
        <v>33</v>
      </c>
      <c r="U2" s="65"/>
    </row>
    <row r="3" spans="1:21" s="36" customFormat="1" ht="15.6" thickTop="1" thickBot="1" x14ac:dyDescent="0.35">
      <c r="A3" s="66">
        <v>2</v>
      </c>
      <c r="B3" s="67">
        <v>45933</v>
      </c>
      <c r="C3" s="68" t="s">
        <v>37</v>
      </c>
      <c r="D3" s="69">
        <v>2</v>
      </c>
      <c r="E3" s="68" t="s">
        <v>35</v>
      </c>
      <c r="F3" s="69">
        <v>6</v>
      </c>
      <c r="G3" s="70"/>
      <c r="H3" s="34" t="s">
        <v>45</v>
      </c>
      <c r="I3" s="35">
        <v>4</v>
      </c>
      <c r="J3" s="35"/>
      <c r="M3" s="37" t="s">
        <v>30</v>
      </c>
      <c r="N3" s="38">
        <v>3</v>
      </c>
      <c r="P3" s="39">
        <f>D3-F3</f>
        <v>-4</v>
      </c>
      <c r="Q3" s="36">
        <f>ABS(P3)</f>
        <v>4</v>
      </c>
      <c r="R3" s="40">
        <v>1</v>
      </c>
      <c r="S3" s="36" t="s">
        <v>27</v>
      </c>
      <c r="T3" s="36">
        <f>COUNTIF($Q$3:$Q$44,R3)</f>
        <v>6</v>
      </c>
      <c r="U3" s="41">
        <f>IF($T$2&gt;0, T3/$T$2, 0)</f>
        <v>0.18181818181818182</v>
      </c>
    </row>
    <row r="4" spans="1:21" s="36" customFormat="1" ht="15.6" thickTop="1" thickBot="1" x14ac:dyDescent="0.35">
      <c r="A4" s="66">
        <v>3</v>
      </c>
      <c r="B4" s="67">
        <v>45935</v>
      </c>
      <c r="C4" s="68" t="s">
        <v>31</v>
      </c>
      <c r="D4" s="69">
        <v>12</v>
      </c>
      <c r="E4" s="68" t="s">
        <v>40</v>
      </c>
      <c r="F4" s="69">
        <v>0</v>
      </c>
      <c r="G4" s="70"/>
      <c r="H4" s="34" t="s">
        <v>46</v>
      </c>
      <c r="I4" s="35">
        <v>2</v>
      </c>
      <c r="J4" s="35"/>
      <c r="M4" s="38" t="s">
        <v>35</v>
      </c>
      <c r="N4" s="38">
        <v>4</v>
      </c>
      <c r="P4" s="39">
        <f t="shared" ref="P4:P7" si="0">D4-F4</f>
        <v>12</v>
      </c>
      <c r="Q4" s="36">
        <f t="shared" ref="Q4:Q7" si="1">ABS(P4)</f>
        <v>12</v>
      </c>
      <c r="R4" s="40">
        <v>2</v>
      </c>
      <c r="S4" s="36" t="s">
        <v>27</v>
      </c>
      <c r="T4" s="36">
        <f>COUNTIF($Q$3:$Q$44,R4)</f>
        <v>2</v>
      </c>
      <c r="U4" s="41">
        <f>IF($T$2&gt;0, T4/$T$2, 0)</f>
        <v>6.0606060606060608E-2</v>
      </c>
    </row>
    <row r="5" spans="1:21" s="36" customFormat="1" ht="15.6" thickTop="1" thickBot="1" x14ac:dyDescent="0.35">
      <c r="A5" s="66">
        <v>4</v>
      </c>
      <c r="B5" s="67">
        <v>45941</v>
      </c>
      <c r="C5" s="68" t="s">
        <v>40</v>
      </c>
      <c r="D5" s="69">
        <v>2</v>
      </c>
      <c r="E5" s="68" t="s">
        <v>19</v>
      </c>
      <c r="F5" s="69">
        <v>7</v>
      </c>
      <c r="G5" s="70"/>
      <c r="H5" s="34" t="s">
        <v>47</v>
      </c>
      <c r="I5" s="35">
        <v>1</v>
      </c>
      <c r="J5" s="35"/>
      <c r="M5" s="38" t="s">
        <v>38</v>
      </c>
      <c r="N5" s="38">
        <v>5</v>
      </c>
      <c r="P5" s="39">
        <f t="shared" si="0"/>
        <v>-5</v>
      </c>
      <c r="Q5" s="36">
        <f t="shared" si="1"/>
        <v>5</v>
      </c>
      <c r="R5" s="40">
        <v>3</v>
      </c>
      <c r="S5" s="36" t="s">
        <v>27</v>
      </c>
      <c r="T5" s="36">
        <f>COUNTIF($Q$3:$Q$44,R5)</f>
        <v>4</v>
      </c>
      <c r="U5" s="41">
        <f>IF($T$2&gt;0, T5/$T$2, 0)</f>
        <v>0.12121212121212122</v>
      </c>
    </row>
    <row r="6" spans="1:21" s="36" customFormat="1" ht="15.6" thickTop="1" thickBot="1" x14ac:dyDescent="0.35">
      <c r="A6" s="66">
        <v>5</v>
      </c>
      <c r="B6" s="67">
        <v>45947</v>
      </c>
      <c r="C6" s="68" t="s">
        <v>40</v>
      </c>
      <c r="D6" s="69">
        <v>2</v>
      </c>
      <c r="E6" s="68" t="s">
        <v>35</v>
      </c>
      <c r="F6" s="69">
        <v>10</v>
      </c>
      <c r="G6" s="70"/>
      <c r="H6" s="34" t="s">
        <v>45</v>
      </c>
      <c r="I6" s="35">
        <v>4</v>
      </c>
      <c r="J6" s="35"/>
      <c r="M6" s="38" t="s">
        <v>36</v>
      </c>
      <c r="N6" s="38">
        <v>6</v>
      </c>
      <c r="P6" s="39">
        <f t="shared" si="0"/>
        <v>-8</v>
      </c>
      <c r="Q6" s="36">
        <f t="shared" si="1"/>
        <v>8</v>
      </c>
      <c r="R6" s="40">
        <v>4</v>
      </c>
      <c r="S6" s="36" t="s">
        <v>27</v>
      </c>
      <c r="T6" s="36">
        <f>COUNTIF($Q$3:$Q$44,R6)</f>
        <v>5</v>
      </c>
      <c r="U6" s="41">
        <f>IF($T$2&gt;0, T6/$T$2, 0)</f>
        <v>0.15151515151515152</v>
      </c>
    </row>
    <row r="7" spans="1:21" s="36" customFormat="1" ht="15.6" thickTop="1" thickBot="1" x14ac:dyDescent="0.35">
      <c r="A7" s="66">
        <v>6</v>
      </c>
      <c r="B7" s="67">
        <v>45947</v>
      </c>
      <c r="C7" s="68" t="s">
        <v>19</v>
      </c>
      <c r="D7" s="69">
        <v>1</v>
      </c>
      <c r="E7" s="68" t="s">
        <v>31</v>
      </c>
      <c r="F7" s="69">
        <v>8</v>
      </c>
      <c r="G7" s="70"/>
      <c r="H7" s="34" t="s">
        <v>48</v>
      </c>
      <c r="I7" s="35">
        <v>3</v>
      </c>
      <c r="J7" s="35"/>
      <c r="M7" s="38" t="s">
        <v>41</v>
      </c>
      <c r="N7" s="38">
        <v>7</v>
      </c>
      <c r="P7" s="39">
        <f t="shared" si="0"/>
        <v>-7</v>
      </c>
      <c r="Q7" s="36">
        <f t="shared" si="1"/>
        <v>7</v>
      </c>
      <c r="R7" s="42" t="s">
        <v>26</v>
      </c>
      <c r="S7" s="43" t="s">
        <v>27</v>
      </c>
      <c r="T7" s="43">
        <f>COUNTIF($Q$3:$Q$44,"&gt;=5")</f>
        <v>16</v>
      </c>
      <c r="U7" s="44">
        <f>IF($T$2&gt;0, T7/$T$2, 0)</f>
        <v>0.48484848484848486</v>
      </c>
    </row>
    <row r="8" spans="1:21" s="36" customFormat="1" ht="15.6" thickTop="1" thickBot="1" x14ac:dyDescent="0.35">
      <c r="A8" s="66">
        <v>8</v>
      </c>
      <c r="B8" s="67">
        <v>45949</v>
      </c>
      <c r="C8" s="68" t="s">
        <v>35</v>
      </c>
      <c r="D8" s="69">
        <v>7</v>
      </c>
      <c r="E8" s="68" t="s">
        <v>31</v>
      </c>
      <c r="F8" s="69">
        <v>5</v>
      </c>
      <c r="G8" s="70"/>
      <c r="H8" s="34" t="s">
        <v>49</v>
      </c>
      <c r="I8" s="35">
        <v>3</v>
      </c>
      <c r="J8" s="35"/>
      <c r="M8" s="38"/>
      <c r="N8" s="38"/>
      <c r="P8" s="39">
        <f t="shared" ref="P8:P29" si="2">D8-F8</f>
        <v>2</v>
      </c>
      <c r="Q8" s="45">
        <f t="shared" ref="Q8:Q29" si="3">ABS(P8)</f>
        <v>2</v>
      </c>
      <c r="U8" s="46"/>
    </row>
    <row r="9" spans="1:21" s="36" customFormat="1" ht="15.6" thickTop="1" thickBot="1" x14ac:dyDescent="0.35">
      <c r="A9" s="66">
        <v>9</v>
      </c>
      <c r="B9" s="67">
        <v>45954</v>
      </c>
      <c r="C9" s="68" t="s">
        <v>19</v>
      </c>
      <c r="D9" s="69">
        <v>1</v>
      </c>
      <c r="E9" s="68" t="s">
        <v>35</v>
      </c>
      <c r="F9" s="69">
        <v>8</v>
      </c>
      <c r="G9" s="70"/>
      <c r="H9" s="34" t="s">
        <v>45</v>
      </c>
      <c r="I9" s="35">
        <v>4</v>
      </c>
      <c r="J9" s="35"/>
      <c r="M9" s="38"/>
      <c r="N9" s="38"/>
      <c r="P9" s="39">
        <f t="shared" si="2"/>
        <v>-7</v>
      </c>
      <c r="Q9" s="45">
        <f t="shared" si="3"/>
        <v>7</v>
      </c>
      <c r="U9" s="46"/>
    </row>
    <row r="10" spans="1:21" s="36" customFormat="1" ht="15.6" thickTop="1" thickBot="1" x14ac:dyDescent="0.35">
      <c r="A10" s="66">
        <v>10</v>
      </c>
      <c r="B10" s="67">
        <v>45955</v>
      </c>
      <c r="C10" s="68" t="s">
        <v>35</v>
      </c>
      <c r="D10" s="69">
        <v>5</v>
      </c>
      <c r="E10" s="68" t="s">
        <v>37</v>
      </c>
      <c r="F10" s="69">
        <v>2</v>
      </c>
      <c r="G10" s="70"/>
      <c r="H10" s="34" t="s">
        <v>49</v>
      </c>
      <c r="I10" s="35">
        <v>6</v>
      </c>
      <c r="J10" s="35"/>
      <c r="M10" s="38"/>
      <c r="N10" s="38">
        <v>7</v>
      </c>
      <c r="P10" s="39">
        <f t="shared" si="2"/>
        <v>3</v>
      </c>
      <c r="Q10" s="45">
        <f t="shared" si="3"/>
        <v>3</v>
      </c>
      <c r="U10" s="47"/>
    </row>
    <row r="11" spans="1:21" s="36" customFormat="1" ht="15.6" thickTop="1" thickBot="1" x14ac:dyDescent="0.35">
      <c r="A11" s="66">
        <v>11</v>
      </c>
      <c r="B11" s="67">
        <v>45955</v>
      </c>
      <c r="C11" s="68" t="s">
        <v>42</v>
      </c>
      <c r="D11" s="69">
        <v>5</v>
      </c>
      <c r="E11" s="68" t="s">
        <v>19</v>
      </c>
      <c r="F11" s="69">
        <v>9</v>
      </c>
      <c r="G11" s="70"/>
      <c r="H11" s="34" t="s">
        <v>47</v>
      </c>
      <c r="I11" s="35">
        <v>1</v>
      </c>
      <c r="J11" s="35"/>
      <c r="N11" s="38"/>
      <c r="P11" s="39">
        <f t="shared" si="2"/>
        <v>-4</v>
      </c>
      <c r="Q11" s="45">
        <f t="shared" si="3"/>
        <v>4</v>
      </c>
    </row>
    <row r="12" spans="1:21" s="36" customFormat="1" ht="15" thickTop="1" x14ac:dyDescent="0.3">
      <c r="A12" s="66">
        <v>12</v>
      </c>
      <c r="B12" s="67">
        <v>45956</v>
      </c>
      <c r="C12" s="68" t="s">
        <v>31</v>
      </c>
      <c r="D12" s="69">
        <v>18</v>
      </c>
      <c r="E12" s="68" t="s">
        <v>42</v>
      </c>
      <c r="F12" s="69">
        <v>1</v>
      </c>
      <c r="G12" s="70"/>
      <c r="H12" s="34" t="s">
        <v>46</v>
      </c>
      <c r="I12" s="35">
        <v>7</v>
      </c>
      <c r="J12" s="35"/>
      <c r="P12" s="39">
        <f t="shared" si="2"/>
        <v>17</v>
      </c>
      <c r="Q12" s="45">
        <f t="shared" si="3"/>
        <v>17</v>
      </c>
    </row>
    <row r="13" spans="1:21" s="36" customFormat="1" x14ac:dyDescent="0.3">
      <c r="A13" s="66">
        <v>13</v>
      </c>
      <c r="B13" s="67">
        <v>45962</v>
      </c>
      <c r="C13" s="68" t="s">
        <v>40</v>
      </c>
      <c r="D13" s="69">
        <v>1</v>
      </c>
      <c r="E13" s="68" t="s">
        <v>31</v>
      </c>
      <c r="F13" s="69">
        <v>14</v>
      </c>
      <c r="G13" s="70"/>
      <c r="H13" s="34" t="s">
        <v>48</v>
      </c>
      <c r="I13" s="35">
        <v>3</v>
      </c>
      <c r="J13" s="35"/>
      <c r="P13" s="39">
        <f t="shared" si="2"/>
        <v>-13</v>
      </c>
      <c r="Q13" s="45">
        <f t="shared" si="3"/>
        <v>13</v>
      </c>
    </row>
    <row r="14" spans="1:21" s="36" customFormat="1" x14ac:dyDescent="0.3">
      <c r="A14" s="66">
        <v>14</v>
      </c>
      <c r="B14" s="67">
        <v>45963</v>
      </c>
      <c r="C14" s="68" t="s">
        <v>37</v>
      </c>
      <c r="D14" s="69">
        <v>2</v>
      </c>
      <c r="E14" s="68" t="s">
        <v>40</v>
      </c>
      <c r="F14" s="69">
        <v>3</v>
      </c>
      <c r="G14" s="70" t="s">
        <v>50</v>
      </c>
      <c r="H14" s="34" t="s">
        <v>51</v>
      </c>
      <c r="I14" s="35">
        <v>2</v>
      </c>
      <c r="J14" s="35"/>
      <c r="P14" s="39">
        <f t="shared" si="2"/>
        <v>-1</v>
      </c>
      <c r="Q14" s="45">
        <f t="shared" si="3"/>
        <v>1</v>
      </c>
    </row>
    <row r="15" spans="1:21" s="36" customFormat="1" x14ac:dyDescent="0.3">
      <c r="A15" s="66">
        <v>1</v>
      </c>
      <c r="B15" s="67">
        <v>45970</v>
      </c>
      <c r="C15" s="68" t="s">
        <v>31</v>
      </c>
      <c r="D15" s="69">
        <v>9</v>
      </c>
      <c r="E15" s="68" t="s">
        <v>37</v>
      </c>
      <c r="F15" s="69">
        <v>2</v>
      </c>
      <c r="G15" s="70"/>
      <c r="H15" s="34" t="s">
        <v>46</v>
      </c>
      <c r="I15" s="35">
        <v>6</v>
      </c>
      <c r="J15" s="35"/>
      <c r="P15" s="39">
        <f t="shared" si="2"/>
        <v>7</v>
      </c>
      <c r="Q15" s="45">
        <f t="shared" si="3"/>
        <v>7</v>
      </c>
    </row>
    <row r="16" spans="1:21" s="36" customFormat="1" x14ac:dyDescent="0.3">
      <c r="A16" s="66">
        <v>15</v>
      </c>
      <c r="B16" s="67">
        <v>45977</v>
      </c>
      <c r="C16" s="68" t="s">
        <v>19</v>
      </c>
      <c r="D16" s="69">
        <v>4</v>
      </c>
      <c r="E16" s="68" t="s">
        <v>40</v>
      </c>
      <c r="F16" s="69">
        <v>3</v>
      </c>
      <c r="G16" s="70" t="s">
        <v>52</v>
      </c>
      <c r="H16" s="34" t="s">
        <v>53</v>
      </c>
      <c r="I16" s="35">
        <v>2</v>
      </c>
      <c r="J16" s="35"/>
      <c r="P16" s="39">
        <f t="shared" si="2"/>
        <v>1</v>
      </c>
      <c r="Q16" s="45">
        <f t="shared" si="3"/>
        <v>1</v>
      </c>
    </row>
    <row r="17" spans="1:21" s="36" customFormat="1" x14ac:dyDescent="0.3">
      <c r="A17" s="66">
        <v>16</v>
      </c>
      <c r="B17" s="67">
        <v>45977</v>
      </c>
      <c r="C17" s="68" t="s">
        <v>42</v>
      </c>
      <c r="D17" s="69">
        <v>0</v>
      </c>
      <c r="E17" s="68" t="s">
        <v>31</v>
      </c>
      <c r="F17" s="69">
        <v>17</v>
      </c>
      <c r="G17" s="70"/>
      <c r="H17" s="34" t="s">
        <v>48</v>
      </c>
      <c r="I17" s="35">
        <v>3</v>
      </c>
      <c r="J17" s="35"/>
      <c r="P17" s="39">
        <f t="shared" si="2"/>
        <v>-17</v>
      </c>
      <c r="Q17" s="45">
        <f t="shared" si="3"/>
        <v>17</v>
      </c>
    </row>
    <row r="18" spans="1:21" s="36" customFormat="1" x14ac:dyDescent="0.3">
      <c r="A18" s="66">
        <v>17</v>
      </c>
      <c r="B18" s="67">
        <v>45982</v>
      </c>
      <c r="C18" s="68" t="s">
        <v>40</v>
      </c>
      <c r="D18" s="69">
        <v>5</v>
      </c>
      <c r="E18" s="68" t="s">
        <v>38</v>
      </c>
      <c r="F18" s="69">
        <v>3</v>
      </c>
      <c r="G18" s="70"/>
      <c r="H18" s="34" t="s">
        <v>57</v>
      </c>
      <c r="I18" s="35">
        <v>5</v>
      </c>
      <c r="J18" s="35"/>
      <c r="P18" s="39">
        <f t="shared" si="2"/>
        <v>2</v>
      </c>
      <c r="Q18" s="45">
        <f t="shared" si="3"/>
        <v>2</v>
      </c>
    </row>
    <row r="19" spans="1:21" s="36" customFormat="1" x14ac:dyDescent="0.3">
      <c r="A19" s="66">
        <v>18</v>
      </c>
      <c r="B19" s="67">
        <v>45983</v>
      </c>
      <c r="C19" s="68" t="s">
        <v>35</v>
      </c>
      <c r="D19" s="69">
        <v>5</v>
      </c>
      <c r="E19" s="68" t="s">
        <v>19</v>
      </c>
      <c r="F19" s="69">
        <v>2</v>
      </c>
      <c r="G19" s="70"/>
      <c r="H19" s="34" t="s">
        <v>49</v>
      </c>
      <c r="I19" s="35">
        <v>1</v>
      </c>
      <c r="J19" s="35"/>
      <c r="P19" s="39">
        <f t="shared" si="2"/>
        <v>3</v>
      </c>
      <c r="Q19" s="45">
        <f t="shared" si="3"/>
        <v>3</v>
      </c>
    </row>
    <row r="20" spans="1:21" s="36" customFormat="1" x14ac:dyDescent="0.3">
      <c r="A20" s="66">
        <v>19</v>
      </c>
      <c r="B20" s="67">
        <v>45983</v>
      </c>
      <c r="C20" s="68" t="s">
        <v>42</v>
      </c>
      <c r="D20" s="69">
        <v>5</v>
      </c>
      <c r="E20" s="68" t="s">
        <v>38</v>
      </c>
      <c r="F20" s="69">
        <v>9</v>
      </c>
      <c r="G20" s="70"/>
      <c r="H20" s="34" t="s">
        <v>58</v>
      </c>
      <c r="I20" s="35">
        <v>5</v>
      </c>
      <c r="J20" s="35"/>
      <c r="P20" s="39">
        <f t="shared" si="2"/>
        <v>-4</v>
      </c>
      <c r="Q20" s="45">
        <f t="shared" si="3"/>
        <v>4</v>
      </c>
    </row>
    <row r="21" spans="1:21" s="36" customFormat="1" x14ac:dyDescent="0.3">
      <c r="A21" s="66">
        <v>20</v>
      </c>
      <c r="B21" s="67">
        <v>45984</v>
      </c>
      <c r="C21" s="68" t="s">
        <v>35</v>
      </c>
      <c r="D21" s="69">
        <v>12</v>
      </c>
      <c r="E21" s="68" t="s">
        <v>42</v>
      </c>
      <c r="F21" s="69">
        <v>1</v>
      </c>
      <c r="G21" s="70"/>
      <c r="H21" s="34" t="s">
        <v>49</v>
      </c>
      <c r="I21" s="35">
        <v>7</v>
      </c>
      <c r="J21" s="35"/>
      <c r="P21" s="39">
        <f t="shared" si="2"/>
        <v>11</v>
      </c>
      <c r="Q21" s="45">
        <f t="shared" si="3"/>
        <v>11</v>
      </c>
    </row>
    <row r="22" spans="1:21" s="36" customFormat="1" x14ac:dyDescent="0.3">
      <c r="A22" s="66">
        <v>21</v>
      </c>
      <c r="B22" s="67">
        <v>45984</v>
      </c>
      <c r="C22" s="68" t="s">
        <v>37</v>
      </c>
      <c r="D22" s="69">
        <v>0</v>
      </c>
      <c r="E22" s="68" t="s">
        <v>31</v>
      </c>
      <c r="F22" s="69">
        <v>6</v>
      </c>
      <c r="G22" s="70"/>
      <c r="H22" s="34" t="s">
        <v>48</v>
      </c>
      <c r="I22" s="35">
        <v>3</v>
      </c>
      <c r="J22" s="35"/>
      <c r="N22" s="36">
        <f>LOOKUP(C23,M1:M4,N1:N4)</f>
        <v>4</v>
      </c>
      <c r="P22" s="39">
        <f t="shared" si="2"/>
        <v>-6</v>
      </c>
      <c r="Q22" s="45">
        <f t="shared" si="3"/>
        <v>6</v>
      </c>
    </row>
    <row r="23" spans="1:21" s="36" customFormat="1" x14ac:dyDescent="0.3">
      <c r="A23" s="66">
        <v>23</v>
      </c>
      <c r="B23" s="67">
        <v>45996</v>
      </c>
      <c r="C23" s="68" t="s">
        <v>37</v>
      </c>
      <c r="D23" s="69">
        <v>4</v>
      </c>
      <c r="E23" s="68" t="s">
        <v>38</v>
      </c>
      <c r="F23" s="69">
        <v>1</v>
      </c>
      <c r="G23" s="70"/>
      <c r="H23" s="34" t="s">
        <v>59</v>
      </c>
      <c r="I23" s="35">
        <v>5</v>
      </c>
      <c r="J23" s="35"/>
      <c r="P23" s="39">
        <f t="shared" si="2"/>
        <v>3</v>
      </c>
      <c r="Q23" s="45">
        <f t="shared" si="3"/>
        <v>3</v>
      </c>
    </row>
    <row r="24" spans="1:21" s="36" customFormat="1" x14ac:dyDescent="0.3">
      <c r="A24" s="66">
        <v>24</v>
      </c>
      <c r="B24" s="67">
        <v>45997</v>
      </c>
      <c r="C24" s="68" t="s">
        <v>35</v>
      </c>
      <c r="D24" s="69">
        <v>8</v>
      </c>
      <c r="E24" s="68" t="s">
        <v>38</v>
      </c>
      <c r="F24" s="69">
        <v>0</v>
      </c>
      <c r="G24" s="70"/>
      <c r="H24" s="34" t="s">
        <v>49</v>
      </c>
      <c r="I24" s="35">
        <v>5</v>
      </c>
      <c r="J24" s="35"/>
      <c r="P24" s="39">
        <f t="shared" si="2"/>
        <v>8</v>
      </c>
      <c r="Q24" s="45">
        <f t="shared" si="3"/>
        <v>8</v>
      </c>
    </row>
    <row r="25" spans="1:21" s="36" customFormat="1" x14ac:dyDescent="0.3">
      <c r="A25" s="66">
        <v>25</v>
      </c>
      <c r="B25" s="67">
        <v>45998</v>
      </c>
      <c r="C25" s="68" t="s">
        <v>42</v>
      </c>
      <c r="D25" s="69">
        <v>3</v>
      </c>
      <c r="E25" s="68" t="s">
        <v>40</v>
      </c>
      <c r="F25" s="69">
        <v>4</v>
      </c>
      <c r="G25" s="70" t="s">
        <v>50</v>
      </c>
      <c r="H25" s="34" t="s">
        <v>51</v>
      </c>
      <c r="I25" s="35">
        <v>2</v>
      </c>
      <c r="J25" s="35"/>
      <c r="P25" s="39">
        <f t="shared" si="2"/>
        <v>-1</v>
      </c>
      <c r="Q25" s="45">
        <f t="shared" si="3"/>
        <v>1</v>
      </c>
    </row>
    <row r="26" spans="1:21" s="36" customFormat="1" x14ac:dyDescent="0.3">
      <c r="A26" s="66">
        <v>26</v>
      </c>
      <c r="B26" s="67">
        <v>46039</v>
      </c>
      <c r="C26" s="68" t="s">
        <v>19</v>
      </c>
      <c r="D26" s="69">
        <v>6</v>
      </c>
      <c r="E26" s="68" t="s">
        <v>38</v>
      </c>
      <c r="F26" s="69">
        <v>2</v>
      </c>
      <c r="G26" s="70"/>
      <c r="H26" s="34" t="s">
        <v>61</v>
      </c>
      <c r="I26" s="35">
        <v>5</v>
      </c>
      <c r="J26" s="35"/>
      <c r="P26" s="39">
        <f t="shared" si="2"/>
        <v>4</v>
      </c>
      <c r="Q26" s="45">
        <f t="shared" si="3"/>
        <v>4</v>
      </c>
    </row>
    <row r="27" spans="1:21" s="36" customFormat="1" x14ac:dyDescent="0.3">
      <c r="A27" s="66">
        <v>27</v>
      </c>
      <c r="B27" s="67">
        <v>46040</v>
      </c>
      <c r="C27" s="68" t="s">
        <v>37</v>
      </c>
      <c r="D27" s="69">
        <v>6</v>
      </c>
      <c r="E27" s="68" t="s">
        <v>42</v>
      </c>
      <c r="F27" s="69">
        <v>5</v>
      </c>
      <c r="G27" s="70"/>
      <c r="H27" s="34" t="s">
        <v>59</v>
      </c>
      <c r="I27" s="35">
        <v>7</v>
      </c>
      <c r="J27" s="35"/>
      <c r="P27" s="39">
        <f t="shared" si="2"/>
        <v>1</v>
      </c>
      <c r="Q27" s="45">
        <f t="shared" si="3"/>
        <v>1</v>
      </c>
    </row>
    <row r="28" spans="1:21" s="36" customFormat="1" x14ac:dyDescent="0.3">
      <c r="A28" s="66">
        <v>28</v>
      </c>
      <c r="B28" s="67">
        <v>46045</v>
      </c>
      <c r="C28" s="68" t="s">
        <v>38</v>
      </c>
      <c r="D28" s="69">
        <v>0</v>
      </c>
      <c r="E28" s="68" t="s">
        <v>31</v>
      </c>
      <c r="F28" s="69">
        <v>9</v>
      </c>
      <c r="G28" s="70"/>
      <c r="H28" s="34" t="s">
        <v>48</v>
      </c>
      <c r="I28" s="35">
        <v>3</v>
      </c>
      <c r="J28" s="35"/>
      <c r="P28" s="39">
        <f t="shared" si="2"/>
        <v>-9</v>
      </c>
      <c r="Q28" s="45">
        <f t="shared" si="3"/>
        <v>9</v>
      </c>
    </row>
    <row r="29" spans="1:21" s="36" customFormat="1" x14ac:dyDescent="0.3">
      <c r="A29" s="66">
        <v>7</v>
      </c>
      <c r="B29" s="67">
        <v>46046</v>
      </c>
      <c r="C29" s="68" t="s">
        <v>19</v>
      </c>
      <c r="D29" s="69">
        <v>5</v>
      </c>
      <c r="E29" s="68" t="s">
        <v>37</v>
      </c>
      <c r="F29" s="69">
        <v>1</v>
      </c>
      <c r="G29" s="70"/>
      <c r="H29" s="34" t="s">
        <v>61</v>
      </c>
      <c r="I29" s="35">
        <v>6</v>
      </c>
      <c r="J29" s="35"/>
      <c r="P29" s="39">
        <f t="shared" si="2"/>
        <v>4</v>
      </c>
      <c r="Q29" s="45">
        <f t="shared" si="3"/>
        <v>4</v>
      </c>
      <c r="U29" s="46">
        <f>SUM(U24:U28)</f>
        <v>0</v>
      </c>
    </row>
    <row r="30" spans="1:21" s="36" customFormat="1" x14ac:dyDescent="0.3">
      <c r="A30" s="66">
        <v>29</v>
      </c>
      <c r="B30" s="67">
        <v>46046</v>
      </c>
      <c r="C30" s="68" t="s">
        <v>38</v>
      </c>
      <c r="D30" s="69">
        <v>3</v>
      </c>
      <c r="E30" s="68" t="s">
        <v>40</v>
      </c>
      <c r="F30" s="69">
        <v>4</v>
      </c>
      <c r="G30" s="70"/>
      <c r="H30" s="34" t="s">
        <v>62</v>
      </c>
      <c r="I30" s="35">
        <v>2</v>
      </c>
      <c r="J30" s="35"/>
      <c r="P30" s="39">
        <f t="shared" ref="P30:P37" si="4">D30-F30</f>
        <v>-1</v>
      </c>
      <c r="Q30" s="45">
        <f t="shared" ref="Q30:Q37" si="5">ABS(P30)</f>
        <v>1</v>
      </c>
    </row>
    <row r="31" spans="1:21" s="36" customFormat="1" x14ac:dyDescent="0.3">
      <c r="A31" s="66">
        <v>30</v>
      </c>
      <c r="B31" s="67">
        <v>46050</v>
      </c>
      <c r="C31" s="68" t="s">
        <v>19</v>
      </c>
      <c r="D31" s="69">
        <v>10</v>
      </c>
      <c r="E31" s="68" t="s">
        <v>42</v>
      </c>
      <c r="F31" s="69">
        <v>5</v>
      </c>
      <c r="G31" s="70"/>
      <c r="H31" s="34" t="s">
        <v>61</v>
      </c>
      <c r="I31" s="35">
        <v>7</v>
      </c>
      <c r="J31" s="35"/>
      <c r="P31" s="39">
        <f t="shared" si="4"/>
        <v>5</v>
      </c>
      <c r="Q31" s="45">
        <f t="shared" si="5"/>
        <v>5</v>
      </c>
    </row>
    <row r="32" spans="1:21" s="36" customFormat="1" x14ac:dyDescent="0.3">
      <c r="A32" s="66">
        <v>38</v>
      </c>
      <c r="B32" s="67">
        <v>46051</v>
      </c>
      <c r="C32" s="68" t="s">
        <v>42</v>
      </c>
      <c r="D32" s="69">
        <v>10</v>
      </c>
      <c r="E32" s="68" t="s">
        <v>37</v>
      </c>
      <c r="F32" s="69">
        <v>4</v>
      </c>
      <c r="G32" s="70"/>
      <c r="H32" s="34" t="s">
        <v>63</v>
      </c>
      <c r="I32" s="35">
        <v>6</v>
      </c>
      <c r="J32" s="35"/>
      <c r="P32" s="39">
        <f t="shared" si="4"/>
        <v>6</v>
      </c>
      <c r="Q32" s="45">
        <f t="shared" si="5"/>
        <v>6</v>
      </c>
    </row>
    <row r="33" spans="1:17" s="36" customFormat="1" x14ac:dyDescent="0.3">
      <c r="A33" s="66">
        <v>31</v>
      </c>
      <c r="B33" s="67">
        <v>46053</v>
      </c>
      <c r="C33" s="68" t="s">
        <v>31</v>
      </c>
      <c r="D33" s="69">
        <v>10</v>
      </c>
      <c r="E33" s="68" t="s">
        <v>35</v>
      </c>
      <c r="F33" s="69">
        <v>5</v>
      </c>
      <c r="G33" s="70"/>
      <c r="H33" s="34" t="s">
        <v>46</v>
      </c>
      <c r="I33" s="35">
        <v>4</v>
      </c>
      <c r="J33" s="35"/>
      <c r="P33" s="39">
        <f t="shared" si="4"/>
        <v>5</v>
      </c>
      <c r="Q33" s="45">
        <f t="shared" si="5"/>
        <v>5</v>
      </c>
    </row>
    <row r="34" spans="1:17" s="36" customFormat="1" x14ac:dyDescent="0.3">
      <c r="A34" s="66">
        <v>32</v>
      </c>
      <c r="B34" s="67">
        <v>46053</v>
      </c>
      <c r="C34" s="68" t="s">
        <v>40</v>
      </c>
      <c r="D34" s="69">
        <v>1</v>
      </c>
      <c r="E34" s="68" t="s">
        <v>37</v>
      </c>
      <c r="F34" s="69">
        <v>2</v>
      </c>
      <c r="G34" s="70"/>
      <c r="H34" s="34" t="s">
        <v>64</v>
      </c>
      <c r="I34" s="35">
        <v>6</v>
      </c>
      <c r="J34" s="35"/>
      <c r="P34" s="39">
        <f t="shared" si="4"/>
        <v>-1</v>
      </c>
      <c r="Q34" s="45">
        <f t="shared" si="5"/>
        <v>1</v>
      </c>
    </row>
    <row r="35" spans="1:17" s="36" customFormat="1" x14ac:dyDescent="0.3">
      <c r="A35" s="66">
        <v>33</v>
      </c>
      <c r="B35" s="67">
        <v>46053</v>
      </c>
      <c r="C35" s="68" t="s">
        <v>38</v>
      </c>
      <c r="D35" s="69">
        <v>6</v>
      </c>
      <c r="E35" s="68" t="s">
        <v>42</v>
      </c>
      <c r="F35" s="69">
        <v>3</v>
      </c>
      <c r="G35" s="70"/>
      <c r="H35" s="34" t="s">
        <v>65</v>
      </c>
      <c r="I35" s="35">
        <v>7</v>
      </c>
      <c r="J35" s="35"/>
      <c r="O35" s="36" t="e">
        <f>LOOKUP(E35,M12:M16,N12:N16)</f>
        <v>#N/A</v>
      </c>
      <c r="P35" s="39">
        <f t="shared" si="4"/>
        <v>3</v>
      </c>
      <c r="Q35" s="45">
        <f t="shared" si="5"/>
        <v>3</v>
      </c>
    </row>
    <row r="36" spans="1:17" s="36" customFormat="1" x14ac:dyDescent="0.3">
      <c r="A36" s="66">
        <v>22</v>
      </c>
      <c r="B36" s="67">
        <v>46059</v>
      </c>
      <c r="C36" s="68" t="s">
        <v>19</v>
      </c>
      <c r="D36" s="69"/>
      <c r="E36" s="68" t="s">
        <v>37</v>
      </c>
      <c r="F36" s="69"/>
      <c r="G36" s="70"/>
      <c r="H36" s="34"/>
      <c r="I36" s="35"/>
      <c r="J36" s="35"/>
      <c r="P36" s="39">
        <f t="shared" si="4"/>
        <v>0</v>
      </c>
      <c r="Q36" s="45">
        <f t="shared" si="5"/>
        <v>0</v>
      </c>
    </row>
    <row r="37" spans="1:17" s="36" customFormat="1" x14ac:dyDescent="0.3">
      <c r="A37" s="66">
        <v>34</v>
      </c>
      <c r="B37" s="67">
        <v>46059</v>
      </c>
      <c r="C37" s="68" t="s">
        <v>31</v>
      </c>
      <c r="D37" s="69"/>
      <c r="E37" s="68" t="s">
        <v>38</v>
      </c>
      <c r="F37" s="69"/>
      <c r="G37" s="70"/>
      <c r="H37" s="34"/>
      <c r="I37" s="35"/>
      <c r="J37" s="35"/>
      <c r="P37" s="39">
        <f t="shared" si="4"/>
        <v>0</v>
      </c>
      <c r="Q37" s="45">
        <f t="shared" si="5"/>
        <v>0</v>
      </c>
    </row>
    <row r="38" spans="1:17" s="36" customFormat="1" x14ac:dyDescent="0.3">
      <c r="A38" s="66">
        <v>35</v>
      </c>
      <c r="B38" s="67">
        <v>46060</v>
      </c>
      <c r="C38" s="68" t="s">
        <v>38</v>
      </c>
      <c r="D38" s="69"/>
      <c r="E38" s="68" t="s">
        <v>35</v>
      </c>
      <c r="F38" s="69"/>
      <c r="G38" s="70"/>
      <c r="H38" s="34"/>
      <c r="I38" s="35"/>
      <c r="J38" s="35"/>
      <c r="P38" s="39">
        <f t="shared" ref="P38:P42" si="6">D38-F38</f>
        <v>0</v>
      </c>
      <c r="Q38" s="45">
        <f t="shared" ref="Q38:Q42" si="7">ABS(P38)</f>
        <v>0</v>
      </c>
    </row>
    <row r="39" spans="1:17" s="36" customFormat="1" x14ac:dyDescent="0.3">
      <c r="A39" s="66">
        <v>36</v>
      </c>
      <c r="B39" s="67">
        <v>46060</v>
      </c>
      <c r="C39" s="68" t="s">
        <v>40</v>
      </c>
      <c r="D39" s="69"/>
      <c r="E39" s="68" t="s">
        <v>42</v>
      </c>
      <c r="F39" s="69"/>
      <c r="G39" s="70"/>
      <c r="H39" s="34"/>
      <c r="I39" s="35"/>
      <c r="J39" s="35"/>
      <c r="P39" s="39">
        <f t="shared" si="6"/>
        <v>0</v>
      </c>
      <c r="Q39" s="45">
        <f t="shared" si="7"/>
        <v>0</v>
      </c>
    </row>
    <row r="40" spans="1:17" s="36" customFormat="1" x14ac:dyDescent="0.3">
      <c r="A40" s="66">
        <v>37</v>
      </c>
      <c r="B40" s="67">
        <v>46060</v>
      </c>
      <c r="C40" s="68" t="s">
        <v>31</v>
      </c>
      <c r="D40" s="69"/>
      <c r="E40" s="68" t="s">
        <v>19</v>
      </c>
      <c r="F40" s="69"/>
      <c r="G40" s="70"/>
      <c r="H40" s="34"/>
      <c r="I40" s="35"/>
      <c r="J40" s="35"/>
      <c r="P40" s="39">
        <f t="shared" si="6"/>
        <v>0</v>
      </c>
      <c r="Q40" s="45">
        <f t="shared" si="7"/>
        <v>0</v>
      </c>
    </row>
    <row r="41" spans="1:17" s="36" customFormat="1" x14ac:dyDescent="0.3">
      <c r="A41" s="66">
        <v>39</v>
      </c>
      <c r="B41" s="67">
        <v>46067</v>
      </c>
      <c r="C41" s="68" t="s">
        <v>42</v>
      </c>
      <c r="D41" s="69"/>
      <c r="E41" s="68" t="s">
        <v>35</v>
      </c>
      <c r="F41" s="69"/>
      <c r="G41" s="70"/>
      <c r="H41" s="34"/>
      <c r="I41" s="35"/>
      <c r="J41" s="35"/>
      <c r="P41" s="39">
        <f t="shared" si="6"/>
        <v>0</v>
      </c>
      <c r="Q41" s="45">
        <f t="shared" si="7"/>
        <v>0</v>
      </c>
    </row>
    <row r="42" spans="1:17" s="36" customFormat="1" x14ac:dyDescent="0.3">
      <c r="A42" s="66">
        <v>40</v>
      </c>
      <c r="B42" s="67">
        <v>46067</v>
      </c>
      <c r="C42" s="68" t="s">
        <v>38</v>
      </c>
      <c r="D42" s="69"/>
      <c r="E42" s="68" t="s">
        <v>19</v>
      </c>
      <c r="F42" s="69"/>
      <c r="G42" s="70"/>
      <c r="H42" s="34"/>
      <c r="I42" s="35"/>
      <c r="J42" s="35"/>
      <c r="P42" s="39">
        <f t="shared" si="6"/>
        <v>0</v>
      </c>
      <c r="Q42" s="45">
        <f t="shared" si="7"/>
        <v>0</v>
      </c>
    </row>
    <row r="43" spans="1:17" s="36" customFormat="1" x14ac:dyDescent="0.3">
      <c r="A43" s="66">
        <v>41</v>
      </c>
      <c r="B43" s="67">
        <v>46068</v>
      </c>
      <c r="C43" s="68" t="s">
        <v>35</v>
      </c>
      <c r="D43" s="69"/>
      <c r="E43" s="68" t="s">
        <v>40</v>
      </c>
      <c r="F43" s="69"/>
      <c r="G43" s="70"/>
      <c r="H43" s="34"/>
      <c r="I43" s="35"/>
      <c r="J43" s="35"/>
      <c r="P43" s="39">
        <f t="shared" ref="P43:P44" si="8">D43-F43</f>
        <v>0</v>
      </c>
      <c r="Q43" s="45">
        <f t="shared" ref="Q43:Q44" si="9">ABS(P43)</f>
        <v>0</v>
      </c>
    </row>
    <row r="44" spans="1:17" s="36" customFormat="1" ht="15" thickBot="1" x14ac:dyDescent="0.35">
      <c r="A44" s="71">
        <v>42</v>
      </c>
      <c r="B44" s="72">
        <v>46068</v>
      </c>
      <c r="C44" s="73" t="s">
        <v>38</v>
      </c>
      <c r="D44" s="74"/>
      <c r="E44" s="73" t="s">
        <v>37</v>
      </c>
      <c r="F44" s="74"/>
      <c r="G44" s="75"/>
      <c r="H44" s="34"/>
      <c r="I44" s="35"/>
      <c r="J44" s="35"/>
      <c r="P44" s="39">
        <f t="shared" si="8"/>
        <v>0</v>
      </c>
      <c r="Q44" s="45">
        <f t="shared" si="9"/>
        <v>0</v>
      </c>
    </row>
    <row r="45" spans="1:17" s="36" customFormat="1" ht="15" thickBot="1" x14ac:dyDescent="0.35">
      <c r="A45" s="112"/>
      <c r="B45" s="113"/>
      <c r="C45" s="113"/>
      <c r="D45" s="113"/>
      <c r="E45" s="113"/>
      <c r="F45" s="113"/>
      <c r="G45" s="114"/>
      <c r="H45" s="34"/>
      <c r="I45" s="35"/>
      <c r="J45" s="35"/>
    </row>
    <row r="46" spans="1:17" s="36" customFormat="1" ht="15" thickBot="1" x14ac:dyDescent="0.35">
      <c r="A46" s="109" t="s">
        <v>44</v>
      </c>
      <c r="B46" s="110"/>
      <c r="C46" s="110"/>
      <c r="D46" s="110"/>
      <c r="E46" s="110"/>
      <c r="F46" s="110"/>
      <c r="G46" s="111"/>
      <c r="H46" s="34"/>
      <c r="I46" s="35"/>
      <c r="J46" s="35"/>
    </row>
    <row r="47" spans="1:17" s="36" customFormat="1" x14ac:dyDescent="0.3">
      <c r="A47" s="76" t="s">
        <v>54</v>
      </c>
      <c r="B47" s="77">
        <v>46073</v>
      </c>
      <c r="C47" s="78"/>
      <c r="D47" s="79"/>
      <c r="E47" s="78"/>
      <c r="F47" s="79"/>
      <c r="G47" s="80"/>
      <c r="H47" s="34"/>
      <c r="I47" s="35"/>
      <c r="J47" s="35"/>
    </row>
    <row r="48" spans="1:17" s="36" customFormat="1" x14ac:dyDescent="0.3">
      <c r="A48" s="66" t="s">
        <v>55</v>
      </c>
      <c r="B48" s="67">
        <v>46073</v>
      </c>
      <c r="C48" s="68"/>
      <c r="D48" s="69"/>
      <c r="E48" s="68"/>
      <c r="F48" s="69"/>
      <c r="G48" s="70"/>
      <c r="H48" s="34"/>
      <c r="I48" s="35"/>
      <c r="J48" s="35"/>
    </row>
    <row r="49" spans="1:10" s="36" customFormat="1" ht="15" thickBot="1" x14ac:dyDescent="0.35">
      <c r="A49" s="81" t="s">
        <v>56</v>
      </c>
      <c r="B49" s="82">
        <v>46075</v>
      </c>
      <c r="C49" s="83"/>
      <c r="D49" s="84"/>
      <c r="E49" s="83"/>
      <c r="F49" s="84"/>
      <c r="G49" s="85"/>
      <c r="H49" s="34"/>
      <c r="I49" s="35"/>
      <c r="J49" s="35"/>
    </row>
    <row r="50" spans="1:10" x14ac:dyDescent="0.3">
      <c r="A50" s="29"/>
      <c r="B50" s="30"/>
      <c r="C50" s="29"/>
      <c r="D50" s="54"/>
      <c r="E50" s="29"/>
      <c r="F50" s="54"/>
      <c r="G50" s="31"/>
      <c r="H50" s="24"/>
      <c r="I50" s="13"/>
      <c r="J50" s="13"/>
    </row>
    <row r="51" spans="1:10" x14ac:dyDescent="0.3">
      <c r="A51" s="29"/>
      <c r="B51" s="30"/>
      <c r="C51" s="29"/>
      <c r="D51" s="54"/>
      <c r="E51" s="29"/>
      <c r="F51" s="54"/>
      <c r="G51" s="31"/>
      <c r="H51" s="24"/>
      <c r="I51" s="13"/>
      <c r="J51" s="13"/>
    </row>
    <row r="52" spans="1:10" x14ac:dyDescent="0.3">
      <c r="A52" s="29"/>
      <c r="B52" s="30"/>
      <c r="C52" s="29"/>
      <c r="D52" s="54"/>
      <c r="E52" s="29"/>
      <c r="F52" s="54"/>
      <c r="G52" s="31"/>
      <c r="H52" s="24"/>
      <c r="I52" s="13"/>
      <c r="J52" s="13"/>
    </row>
    <row r="53" spans="1:10" x14ac:dyDescent="0.3">
      <c r="A53" s="29"/>
      <c r="B53" s="30"/>
      <c r="C53" s="29"/>
      <c r="D53" s="54"/>
      <c r="E53" s="29"/>
      <c r="F53" s="54"/>
      <c r="G53" s="31"/>
      <c r="H53" s="24"/>
      <c r="I53" s="13"/>
      <c r="J53" s="13"/>
    </row>
    <row r="54" spans="1:10" x14ac:dyDescent="0.3">
      <c r="A54" s="29"/>
      <c r="B54" s="30"/>
      <c r="C54" s="29"/>
      <c r="D54" s="54"/>
      <c r="E54" s="29"/>
      <c r="F54" s="54"/>
      <c r="G54" s="31"/>
      <c r="H54" s="24"/>
      <c r="I54" s="13"/>
      <c r="J54" s="13"/>
    </row>
    <row r="55" spans="1:10" x14ac:dyDescent="0.3">
      <c r="A55" s="29"/>
      <c r="B55" s="30"/>
      <c r="C55" s="29"/>
      <c r="D55" s="54"/>
      <c r="E55" s="29"/>
      <c r="F55" s="54"/>
      <c r="G55" s="31"/>
      <c r="H55" s="24"/>
      <c r="I55" s="13"/>
      <c r="J55" s="13"/>
    </row>
    <row r="56" spans="1:10" x14ac:dyDescent="0.3">
      <c r="A56" s="29"/>
      <c r="B56" s="30"/>
      <c r="C56" s="29"/>
      <c r="D56" s="54"/>
      <c r="E56" s="29"/>
      <c r="F56" s="54"/>
      <c r="G56" s="31"/>
      <c r="H56" s="24"/>
      <c r="I56" s="13"/>
      <c r="J56" s="13"/>
    </row>
    <row r="57" spans="1:10" x14ac:dyDescent="0.3">
      <c r="A57" s="29"/>
      <c r="B57" s="30"/>
      <c r="C57" s="29"/>
      <c r="D57" s="54"/>
      <c r="E57" s="29"/>
      <c r="F57" s="54"/>
      <c r="G57" s="31"/>
      <c r="H57" s="24"/>
      <c r="I57" s="13"/>
      <c r="J57" s="13"/>
    </row>
    <row r="58" spans="1:10" x14ac:dyDescent="0.3">
      <c r="A58" s="29"/>
      <c r="B58" s="30"/>
      <c r="C58" s="29"/>
      <c r="D58" s="54"/>
      <c r="E58" s="29"/>
      <c r="F58" s="54"/>
      <c r="G58" s="31"/>
      <c r="H58" s="24"/>
      <c r="I58" s="13"/>
      <c r="J58" s="13"/>
    </row>
    <row r="59" spans="1:10" x14ac:dyDescent="0.3">
      <c r="A59" s="29"/>
      <c r="B59" s="30"/>
      <c r="C59" s="29"/>
      <c r="D59" s="54"/>
      <c r="E59" s="29"/>
      <c r="F59" s="5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55"/>
      <c r="E74" s="21"/>
      <c r="F74" s="55"/>
      <c r="G74" s="9"/>
      <c r="H74" s="12"/>
      <c r="I74" s="13"/>
      <c r="J74" s="13"/>
    </row>
    <row r="75" spans="1:10" x14ac:dyDescent="0.3">
      <c r="A75" s="8"/>
      <c r="B75" s="15"/>
      <c r="C75" s="21"/>
      <c r="D75" s="55"/>
      <c r="E75" s="21"/>
      <c r="F75" s="55"/>
      <c r="G75" s="9"/>
      <c r="H75" s="12"/>
      <c r="I75" s="13"/>
      <c r="J75" s="13"/>
    </row>
    <row r="76" spans="1:10" x14ac:dyDescent="0.3">
      <c r="A76" s="8"/>
      <c r="B76" s="15"/>
      <c r="C76" s="21"/>
      <c r="D76" s="55"/>
      <c r="E76" s="21"/>
      <c r="F76" s="55"/>
      <c r="G76" s="9"/>
      <c r="H76" s="12"/>
      <c r="I76" s="13"/>
      <c r="J76" s="13"/>
    </row>
    <row r="77" spans="1:10" x14ac:dyDescent="0.3">
      <c r="A77" s="8"/>
      <c r="B77" s="15"/>
      <c r="C77" s="21"/>
      <c r="D77" s="55"/>
      <c r="E77" s="21"/>
      <c r="F77" s="55"/>
      <c r="G77" s="9"/>
      <c r="H77" s="12"/>
      <c r="I77" s="13"/>
      <c r="J77" s="13"/>
    </row>
    <row r="78" spans="1:10" x14ac:dyDescent="0.3">
      <c r="A78" s="8"/>
      <c r="B78" s="15"/>
      <c r="C78" s="21"/>
      <c r="D78" s="55"/>
      <c r="E78" s="21"/>
      <c r="F78" s="55"/>
      <c r="G78" s="9"/>
      <c r="H78" s="12"/>
      <c r="I78" s="13"/>
      <c r="J78" s="13"/>
    </row>
    <row r="79" spans="1:10" x14ac:dyDescent="0.3">
      <c r="A79" s="8"/>
      <c r="B79" s="15"/>
      <c r="C79" s="21"/>
      <c r="D79" s="55"/>
      <c r="E79" s="21"/>
      <c r="F79" s="55"/>
      <c r="G79" s="9"/>
      <c r="H79" s="12"/>
      <c r="I79" s="13"/>
      <c r="J79" s="13"/>
    </row>
    <row r="80" spans="1:10" x14ac:dyDescent="0.3">
      <c r="A80" s="8"/>
      <c r="B80" s="15"/>
      <c r="C80" s="21"/>
      <c r="D80" s="55"/>
      <c r="E80" s="21"/>
      <c r="F80" s="55"/>
      <c r="G80" s="9"/>
      <c r="H80" s="12"/>
      <c r="I80" s="13"/>
      <c r="J80" s="13"/>
    </row>
    <row r="81" spans="3:8" x14ac:dyDescent="0.3">
      <c r="C81" s="21"/>
      <c r="D81" s="55"/>
      <c r="E81" s="21"/>
      <c r="F81" s="55"/>
    </row>
    <row r="82" spans="3:8" x14ac:dyDescent="0.3">
      <c r="H82">
        <f>D83+F83</f>
        <v>331</v>
      </c>
    </row>
    <row r="83" spans="3:8" x14ac:dyDescent="0.3">
      <c r="D83" s="53">
        <f>SUM(D3:D81)</f>
        <v>170</v>
      </c>
      <c r="F83" s="53">
        <f>SUM(F3:F81)</f>
        <v>161</v>
      </c>
    </row>
  </sheetData>
  <sortState xmlns:xlrd2="http://schemas.microsoft.com/office/spreadsheetml/2017/richdata2" ref="A32:J40">
    <sortCondition ref="B32:B40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2026-02-02T14:01:48Z</dcterms:modified>
</cp:coreProperties>
</file>