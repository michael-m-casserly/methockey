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176" documentId="13_ncr:1_{6D847147-14CC-4E2E-9F58-D0DC2A8D343C}" xr6:coauthVersionLast="47" xr6:coauthVersionMax="47" xr10:uidLastSave="{A9175F32-F750-4023-94E2-5D9CF7475338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<sst xmlns="http://schemas.openxmlformats.org/spreadsheetml/2006/main" count="172" uniqueCount="63">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</sst>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35</v>
      </c>
      <c r="D4" s="23">
        <v>8</v>
      </c>
      <c r="E4" s="23">
        <v>8</v>
      </c>
      <c r="F4" s="23">
        <v>0</v>
      </c>
      <c r="G4" s="23">
        <v>0</v>
      </c>
      <c r="H4" s="50">
        <v>16</v>
      </c>
      <c r="I4" s="23">
        <v>61</v>
      </c>
      <c r="J4" s="52">
        <v>15</v>
      </c>
      <c r="K4" s="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31</v>
      </c>
      <c r="D5" s="23">
        <v>9</v>
      </c>
      <c r="E5" s="23">
        <v>8</v>
      </c>
      <c r="F5" s="23">
        <v>1</v>
      </c>
      <c r="G5" s="23">
        <v>0</v>
      </c>
      <c r="H5" s="50">
        <v>16</v>
      </c>
      <c r="I5" s="23">
        <v>98</v>
      </c>
      <c r="J5" s="52">
        <v>12</v>
      </c>
      <c r="K5" s="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9</v>
      </c>
      <c r="E6" s="23">
        <v>6</v>
      </c>
      <c r="F6" s="23">
        <v>3</v>
      </c>
      <c r="G6" s="23">
        <v>0</v>
      </c>
      <c r="H6" s="50">
        <v>12</v>
      </c>
      <c r="I6" s="23">
        <v>46</v>
      </c>
      <c r="J6" s="52">
        <v>39</v>
      </c>
      <c r="K6" s="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40</v>
      </c>
      <c r="D7" s="23">
        <v>9</v>
      </c>
      <c r="E7" s="23">
        <v>4</v>
      </c>
      <c r="F7" s="23">
        <v>4</v>
      </c>
      <c r="G7" s="23">
        <v>1</v>
      </c>
      <c r="H7" s="50">
        <v>9</v>
      </c>
      <c r="I7" s="23">
        <v>24</v>
      </c>
      <c r="J7" s="52">
        <v>58</v>
      </c>
      <c r="K7" s="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37</v>
      </c>
      <c r="D8" s="23">
        <v>8</v>
      </c>
      <c r="E8" s="23">
        <v>2</v>
      </c>
      <c r="F8" s="23">
        <v>5</v>
      </c>
      <c r="G8" s="23">
        <v>1</v>
      </c>
      <c r="H8" s="50">
        <v>5</v>
      </c>
      <c r="I8" s="23">
        <v>19</v>
      </c>
      <c r="J8" s="52">
        <v>41</v>
      </c>
      <c r="K8" s="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38</v>
      </c>
      <c r="D9" s="23">
        <v>7</v>
      </c>
      <c r="E9" s="23">
        <v>1</v>
      </c>
      <c r="F9" s="23">
        <v>6</v>
      </c>
      <c r="G9" s="23">
        <v>0</v>
      </c>
      <c r="H9" s="50">
        <v>2</v>
      </c>
      <c r="I9" s="23">
        <v>18</v>
      </c>
      <c r="J9" s="52">
        <v>41</v>
      </c>
      <c r="K9" s="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8</v>
      </c>
      <c r="E10" s="23">
        <v>0</v>
      </c>
      <c r="F10" s="23">
        <v>7</v>
      </c>
      <c r="G10" s="23">
        <v>1</v>
      </c>
      <c r="H10" s="50">
        <v>1</v>
      </c>
      <c r="I10" s="23">
        <v>25</v>
      </c>
      <c r="J10" s="52">
        <v>85</v>
      </c>
      <c r="K10" s="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30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46051.431435185186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291</v>
      </c>
      <c r="J15" s="7">
        <f>SUM(J4:J12)</f>
        <v>291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zoomScaleNormal="100" workbookViewId="0">
      <selection activeCell="A31" sqref="A31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29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5</v>
      </c>
      <c r="U3" s="41">
        <f>IF($T$2&gt;0, T3/$T$2, 0)</f>
        <v>0.17241379310344829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6.8965517241379309E-2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3</v>
      </c>
      <c r="U5" s="41">
        <f>IF($T$2&gt;0, T5/$T$2, 0)</f>
        <v>0.10344827586206896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4</v>
      </c>
      <c r="U6" s="41">
        <f>IF($T$2&gt;0, T6/$T$2, 0)</f>
        <v>0.13793103448275862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15</v>
      </c>
      <c r="U7" s="44">
        <f>IF($T$2&gt;0, T7/$T$2, 0)</f>
        <v>0.51724137931034486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6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5</v>
      </c>
      <c r="Q29" s="45">
        <f t="shared" si="3"/>
        <v>5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/>
      <c r="E32" s="68" t="s">
        <v>37</v>
      </c>
      <c r="F32" s="69"/>
      <c r="G32" s="70"/>
      <c r="H32" s="34"/>
      <c r="I32" s="35"/>
      <c r="J32" s="35"/>
      <c r="P32" s="39">
        <f t="shared" si="4"/>
        <v>0</v>
      </c>
      <c r="Q32" s="45">
        <f t="shared" si="5"/>
        <v>0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/>
      <c r="E33" s="68" t="s">
        <v>35</v>
      </c>
      <c r="F33" s="69"/>
      <c r="G33" s="70"/>
      <c r="H33" s="34"/>
      <c r="I33" s="35"/>
      <c r="J33" s="35"/>
      <c r="P33" s="39">
        <f t="shared" si="4"/>
        <v>0</v>
      </c>
      <c r="Q33" s="45">
        <f t="shared" si="5"/>
        <v>0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/>
      <c r="E34" s="68" t="s">
        <v>37</v>
      </c>
      <c r="F34" s="69"/>
      <c r="G34" s="70"/>
      <c r="H34" s="34"/>
      <c r="I34" s="35"/>
      <c r="J34" s="35"/>
      <c r="P34" s="39">
        <f t="shared" si="4"/>
        <v>0</v>
      </c>
      <c r="Q34" s="45">
        <f t="shared" si="5"/>
        <v>0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/>
      <c r="E35" s="68" t="s">
        <v>42</v>
      </c>
      <c r="F35" s="69"/>
      <c r="G35" s="70"/>
      <c r="H35" s="34"/>
      <c r="I35" s="35"/>
      <c r="J35" s="35"/>
      <c r="O35" s="36" t="e">
        <f>LOOKUP(E35,M12:M16,N12:N16)</f>
        <v>#N/A</v>
      </c>
      <c r="P35" s="39">
        <f t="shared" si="4"/>
        <v>0</v>
      </c>
      <c r="Q35" s="45">
        <f t="shared" si="5"/>
        <v>0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/>
      <c r="E36" s="68" t="s">
        <v>37</v>
      </c>
      <c r="F36" s="69"/>
      <c r="G36" s="70"/>
      <c r="H36" s="34"/>
      <c r="I36" s="35"/>
      <c r="J36" s="35"/>
      <c r="P36" s="39">
        <f t="shared" si="4"/>
        <v>0</v>
      </c>
      <c r="Q36" s="45">
        <f t="shared" si="5"/>
        <v>0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/>
      <c r="E37" s="68" t="s">
        <v>38</v>
      </c>
      <c r="F37" s="69"/>
      <c r="G37" s="70"/>
      <c r="H37" s="34"/>
      <c r="I37" s="35"/>
      <c r="J37" s="35"/>
      <c r="P37" s="39">
        <f t="shared" si="4"/>
        <v>0</v>
      </c>
      <c r="Q37" s="45">
        <f t="shared" si="5"/>
        <v>0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/>
      <c r="E38" s="68" t="s">
        <v>35</v>
      </c>
      <c r="F38" s="69"/>
      <c r="G38" s="70"/>
      <c r="H38" s="34"/>
      <c r="I38" s="35"/>
      <c r="J38" s="35"/>
      <c r="P38" s="39">
        <f t="shared" ref="P38:P42" si="6">D38-F38</f>
        <v>0</v>
      </c>
      <c r="Q38" s="45">
        <f t="shared" ref="Q38:Q42" si="7">ABS(P38)</f>
        <v>0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/>
      <c r="E39" s="68" t="s">
        <v>42</v>
      </c>
      <c r="F39" s="69"/>
      <c r="G39" s="70"/>
      <c r="H39" s="34"/>
      <c r="I39" s="35"/>
      <c r="J39" s="35"/>
      <c r="P39" s="39">
        <f t="shared" si="6"/>
        <v>0</v>
      </c>
      <c r="Q39" s="45">
        <f t="shared" si="7"/>
        <v>0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/>
      <c r="E40" s="68" t="s">
        <v>19</v>
      </c>
      <c r="F40" s="69"/>
      <c r="G40" s="70"/>
      <c r="H40" s="34"/>
      <c r="I40" s="35"/>
      <c r="J40" s="35"/>
      <c r="P40" s="39">
        <f t="shared" si="6"/>
        <v>0</v>
      </c>
      <c r="Q40" s="45">
        <f t="shared" si="7"/>
        <v>0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/>
      <c r="E41" s="68" t="s">
        <v>35</v>
      </c>
      <c r="F41" s="69"/>
      <c r="G41" s="70"/>
      <c r="H41" s="34"/>
      <c r="I41" s="35"/>
      <c r="J41" s="35"/>
      <c r="P41" s="39">
        <f t="shared" si="6"/>
        <v>0</v>
      </c>
      <c r="Q41" s="45">
        <f t="shared" si="7"/>
        <v>0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/>
      <c r="E42" s="68" t="s">
        <v>19</v>
      </c>
      <c r="F42" s="69"/>
      <c r="G42" s="70"/>
      <c r="H42" s="34"/>
      <c r="I42" s="35"/>
      <c r="J42" s="35"/>
      <c r="P42" s="39">
        <f t="shared" si="6"/>
        <v>0</v>
      </c>
      <c r="Q42" s="45">
        <f t="shared" si="7"/>
        <v>0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/>
      <c r="E43" s="68" t="s">
        <v>40</v>
      </c>
      <c r="F43" s="69"/>
      <c r="G43" s="70"/>
      <c r="H43" s="34"/>
      <c r="I43" s="35"/>
      <c r="J43" s="35"/>
      <c r="P43" s="39">
        <f t="shared" ref="P43:P44" si="8">D43-F43</f>
        <v>0</v>
      </c>
      <c r="Q43" s="45">
        <f t="shared" ref="Q43:Q44" si="9">ABS(P43)</f>
        <v>0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/>
      <c r="E44" s="73" t="s">
        <v>37</v>
      </c>
      <c r="F44" s="74"/>
      <c r="G44" s="75"/>
      <c r="H44" s="34"/>
      <c r="I44" s="35"/>
      <c r="J44" s="35"/>
      <c r="P44" s="39">
        <f t="shared" si="8"/>
        <v>0</v>
      </c>
      <c r="Q44" s="45">
        <f t="shared" si="9"/>
        <v>0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/>
      <c r="D47" s="79"/>
      <c r="E47" s="78"/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/>
      <c r="D48" s="69"/>
      <c r="E48" s="68"/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291</v>
      </c>
    </row>
    <row r="83" spans="3:8" x14ac:dyDescent="0.3">
      <c r="D83" s="53">
        <f>SUM(D3:D81)</f>
        <v>144</v>
      </c>
      <c r="F83" s="53">
        <f>SUM(F3:F81)</f>
        <v>147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2026-01-29T15:21:26Z</dcterms:modified>
</cp:coreProperties>
</file>