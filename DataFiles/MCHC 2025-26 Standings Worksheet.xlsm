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295" documentId="13_ncr:1_{6D847147-14CC-4E2E-9F58-D0DC2A8D343C}" xr6:coauthVersionLast="47" xr6:coauthVersionMax="47" xr10:uidLastSave="{4FDFE9D3-89B8-4D80-B197-C5C7861E1134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<sst xmlns="http://schemas.openxmlformats.org/spreadsheetml/2006/main" count="192" uniqueCount="67">
  <si>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</si>
  <si>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</si>
  <si>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</si>
  <si>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</si>
  <si>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</si>
  <si>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</si>
  <si>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</si>
  <si>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</si>
  <si>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</si>
  <si>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</si>
  <si>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</si>
  <si>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</si>
  <si>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</si>
  <si>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</si>
  <si>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</si>
  <si>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</si>
  <si>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</si>
  <si>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</si>
  <si>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</si>
  <si>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</si>
  <si>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</si>
  <si>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</si>
  <si>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</si>
  <si>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</si>
  <si>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</si>
  <si>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</si>
  <si>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</si>
  <si>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</si>
  <si>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</si>
  <si>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</si>
  <si>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</si>
  <si>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</si>
  <si>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</si>
  <si>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</si>
  <si>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</si>
  <si>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</si>
  <si>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</si>
  <si>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</si>
  <si>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</si>
  <si>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</si>
  <si>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</si>
  <si>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</si>
  <si>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</si>
  <si>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</si>
  <si>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</si>
  <si>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</si>
  <si>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</si>
  <si>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</si>
  <si>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</si>
  <si>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</si>
  <si>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</si>
  <si>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</si>
  <si>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</si>
  <si>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</si>
  <si>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</si>
  <si>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</si>
  <si>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</si>
  <si>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</si>
  <si>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</si>
  <si>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</si>
  <si>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</si>
  <si>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</si>
  <si>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</si>
  <si>
    <t>Yeshiva (Away) Wins</t>
  </si>
  <si>
    <t>WestConn (Home) Wins</t>
  </si>
  <si>
    <t>USMMA (Away) Wins</t>
  </si>
  <si>
    <t>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</si>
</sst>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6" ht="18" x14ac:dyDescent="0.3">
      <c r="A3" s="10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96" t="s">
        <v>10</v>
      </c>
      <c r="N3" s="97"/>
      <c r="O3" s="97"/>
      <c r="P3" s="97"/>
    </row>
    <row r="4" spans="1:16" ht="18" customHeight="1" x14ac:dyDescent="0.3">
      <c r="A4" s="101"/>
      <c r="B4" s="49">
        <v>1</v>
      </c>
      <c r="C4" s="51" t="s">
        <v>31</v>
      </c>
      <c r="D4" s="23">
        <v>12</v>
      </c>
      <c r="E4" s="23">
        <v>11</v>
      </c>
      <c r="F4" s="23">
        <v>1</v>
      </c>
      <c r="G4" s="23">
        <v>0</v>
      </c>
      <c r="H4" s="50">
        <v>22</v>
      </c>
      <c r="I4" s="23">
        <v>128</v>
      </c>
      <c r="J4" s="52">
        <v>17</v>
      </c>
      <c r="K4" s="1"/>
      <c r="M4" s="4">
        <v>1</v>
      </c>
      <c r="N4" t="s">
        <v>11</v>
      </c>
    </row>
    <row r="5" spans="1:16" ht="18" customHeight="1" x14ac:dyDescent="0.3">
      <c r="A5" s="101"/>
      <c r="B5" s="49">
        <v>2</v>
      </c>
      <c r="C5" s="51" t="s">
        <v>35</v>
      </c>
      <c r="D5" s="23">
        <v>12</v>
      </c>
      <c r="E5" s="23">
        <v>11</v>
      </c>
      <c r="F5" s="23">
        <v>1</v>
      </c>
      <c r="G5" s="23">
        <v>0</v>
      </c>
      <c r="H5" s="50">
        <v>22</v>
      </c>
      <c r="I5" s="23">
        <v>98</v>
      </c>
      <c r="J5" s="52">
        <v>32</v>
      </c>
      <c r="K5" s="1"/>
      <c r="M5" s="4">
        <v>2</v>
      </c>
      <c r="N5" t="s">
        <v>12</v>
      </c>
    </row>
    <row r="6" spans="1:16" ht="18" customHeight="1" x14ac:dyDescent="0.3">
      <c r="A6" s="101"/>
      <c r="B6" s="49">
        <v>3</v>
      </c>
      <c r="C6" s="51" t="s">
        <v>19</v>
      </c>
      <c r="D6" s="23">
        <v>12</v>
      </c>
      <c r="E6" s="23">
        <v>7</v>
      </c>
      <c r="F6" s="23">
        <v>5</v>
      </c>
      <c r="G6" s="23">
        <v>0</v>
      </c>
      <c r="H6" s="50">
        <v>14</v>
      </c>
      <c r="I6" s="23">
        <v>56</v>
      </c>
      <c r="J6" s="52">
        <v>56</v>
      </c>
      <c r="K6" s="1"/>
      <c r="M6" s="4">
        <v>3</v>
      </c>
      <c r="N6" t="s">
        <v>13</v>
      </c>
    </row>
    <row r="7" spans="1:16" ht="18" customHeight="1" x14ac:dyDescent="0.3">
      <c r="A7" s="101"/>
      <c r="B7" s="49">
        <v>4</v>
      </c>
      <c r="C7" s="51" t="s">
        <v>37</v>
      </c>
      <c r="D7" s="23">
        <v>12</v>
      </c>
      <c r="E7" s="23">
        <v>5</v>
      </c>
      <c r="F7" s="23">
        <v>6</v>
      </c>
      <c r="G7" s="23">
        <v>1</v>
      </c>
      <c r="H7" s="50">
        <v>11</v>
      </c>
      <c r="I7" s="23">
        <v>35</v>
      </c>
      <c r="J7" s="52">
        <v>54</v>
      </c>
      <c r="K7" s="1"/>
      <c r="M7" s="4">
        <v>4</v>
      </c>
      <c r="N7" t="s">
        <v>15</v>
      </c>
    </row>
    <row r="8" spans="1:16" ht="18" customHeight="1" x14ac:dyDescent="0.3">
      <c r="A8" s="101"/>
      <c r="B8" s="49">
        <v>5</v>
      </c>
      <c r="C8" s="51" t="s">
        <v>40</v>
      </c>
      <c r="D8" s="23">
        <v>12</v>
      </c>
      <c r="E8" s="23">
        <v>5</v>
      </c>
      <c r="F8" s="23">
        <v>6</v>
      </c>
      <c r="G8" s="23">
        <v>1</v>
      </c>
      <c r="H8" s="50">
        <v>11</v>
      </c>
      <c r="I8" s="23">
        <v>31</v>
      </c>
      <c r="J8" s="52">
        <v>72</v>
      </c>
      <c r="K8" s="1"/>
      <c r="M8" s="4">
        <v>5</v>
      </c>
      <c r="N8" t="s">
        <v>17</v>
      </c>
    </row>
    <row r="9" spans="1:16" ht="18" customHeight="1" x14ac:dyDescent="0.3">
      <c r="A9" s="101"/>
      <c r="B9" s="49">
        <v>6</v>
      </c>
      <c r="C9" s="51" t="s">
        <v>38</v>
      </c>
      <c r="D9" s="23">
        <v>12</v>
      </c>
      <c r="E9" s="23">
        <v>2</v>
      </c>
      <c r="F9" s="23">
        <v>10</v>
      </c>
      <c r="G9" s="23">
        <v>0</v>
      </c>
      <c r="H9" s="50">
        <v>4</v>
      </c>
      <c r="I9" s="23">
        <v>30</v>
      </c>
      <c r="J9" s="52">
        <v>74</v>
      </c>
      <c r="K9" s="1"/>
    </row>
    <row r="10" spans="1:16" ht="18" customHeight="1" thickBot="1" x14ac:dyDescent="0.35">
      <c r="A10" s="101"/>
      <c r="B10" s="49">
        <v>7</v>
      </c>
      <c r="C10" s="51" t="s">
        <v>42</v>
      </c>
      <c r="D10" s="23">
        <v>12</v>
      </c>
      <c r="E10" s="23">
        <v>1</v>
      </c>
      <c r="F10" s="23">
        <v>10</v>
      </c>
      <c r="G10" s="23">
        <v>1</v>
      </c>
      <c r="H10" s="50">
        <v>3</v>
      </c>
      <c r="I10" s="23">
        <v>46</v>
      </c>
      <c r="J10" s="52">
        <v>119</v>
      </c>
      <c r="K10" s="1"/>
      <c r="M10" t="s">
        <v>14</v>
      </c>
    </row>
    <row r="11" spans="1:16" ht="18" hidden="1" customHeight="1" thickBot="1" x14ac:dyDescent="0.35">
      <c r="A11" s="101"/>
      <c r="B11" s="49"/>
      <c r="C11" s="109"/>
      <c r="D11" s="110"/>
      <c r="E11" s="110"/>
      <c r="F11" s="110"/>
      <c r="G11" s="110"/>
      <c r="H11" s="110"/>
      <c r="I11" s="110"/>
      <c r="J11" s="111"/>
      <c r="K11" s="1"/>
    </row>
    <row r="12" spans="1:16" ht="16.8" thickTop="1" thickBot="1" x14ac:dyDescent="0.35">
      <c r="A12" s="101"/>
      <c r="B12" s="49"/>
      <c r="C12" s="112"/>
      <c r="D12" s="113"/>
      <c r="E12" s="113"/>
      <c r="F12" s="113"/>
      <c r="G12" s="113"/>
      <c r="H12" s="113"/>
      <c r="I12" s="113"/>
      <c r="J12" s="114"/>
      <c r="K12" s="1"/>
      <c r="M12" s="98" t="s">
        <v>16</v>
      </c>
      <c r="N12" s="98"/>
      <c r="O12" s="98"/>
      <c r="P12" s="5">
        <v>42</v>
      </c>
    </row>
    <row r="13" spans="1:16" ht="15.6" x14ac:dyDescent="0.3">
      <c r="A13" s="1"/>
      <c r="B13" s="48"/>
      <c r="C13" s="104" t="s">
        <v>39</v>
      </c>
      <c r="D13" s="105"/>
      <c r="E13" s="105"/>
      <c r="F13" s="105"/>
      <c r="G13" s="102" cm="1">
        <f t="array" aca="1" ref="G13" ca="1">LastModified()</f>
        <v>46070.446793981479</v>
      </c>
      <c r="H13" s="102"/>
      <c r="I13" s="102"/>
      <c r="J13" s="103"/>
      <c r="K13" s="1"/>
      <c r="M13" s="32"/>
      <c r="N13" s="32"/>
      <c r="O13" s="32"/>
    </row>
    <row r="14" spans="1:16" ht="52.95" customHeight="1" thickBot="1" x14ac:dyDescent="0.35">
      <c r="B14" s="33"/>
      <c r="C14" s="106" t="s">
        <v>43</v>
      </c>
      <c r="D14" s="107"/>
      <c r="E14" s="107"/>
      <c r="F14" s="107"/>
      <c r="G14" s="107"/>
      <c r="H14" s="107"/>
      <c r="I14" s="107"/>
      <c r="J14" s="108"/>
    </row>
    <row r="15" spans="1:16" x14ac:dyDescent="0.3">
      <c r="G15" s="99" t="s">
        <v>18</v>
      </c>
      <c r="H15" s="99"/>
      <c r="I15" s="7">
        <f>SUM(I4:I12)</f>
        <v>424</v>
      </c>
      <c r="J15" s="7">
        <f>SUM(J4:J12)</f>
        <v>424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27" zoomScaleNormal="100" workbookViewId="0">
      <selection activeCell="B51" sqref="B51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86" t="s">
        <v>28</v>
      </c>
      <c r="S1" s="87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88" t="s">
        <v>29</v>
      </c>
      <c r="S2" s="89"/>
      <c r="T2" s="64">
        <f>SUM(T3:T7)</f>
        <v>42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7</v>
      </c>
      <c r="U3" s="41">
        <f>IF($T$2&gt;0, T3/$T$2, 0)</f>
        <v>0.16666666666666666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4.7619047619047616E-2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6</v>
      </c>
      <c r="U5" s="41">
        <f>IF($T$2&gt;0, T5/$T$2, 0)</f>
        <v>0.14285714285714285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6</v>
      </c>
      <c r="U6" s="41">
        <f>IF($T$2&gt;0, T6/$T$2, 0)</f>
        <v>0.14285714285714285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21</v>
      </c>
      <c r="U7" s="44">
        <f>IF($T$2&gt;0, T7/$T$2, 0)</f>
        <v>0.5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5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4</v>
      </c>
      <c r="Q29" s="45">
        <f t="shared" si="3"/>
        <v>4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46050</v>
      </c>
      <c r="C31" s="68" t="s">
        <v>19</v>
      </c>
      <c r="D31" s="69">
        <v>10</v>
      </c>
      <c r="E31" s="68" t="s">
        <v>42</v>
      </c>
      <c r="F31" s="69">
        <v>5</v>
      </c>
      <c r="G31" s="70"/>
      <c r="H31" s="34" t="s">
        <v>61</v>
      </c>
      <c r="I31" s="35">
        <v>7</v>
      </c>
      <c r="J31" s="35"/>
      <c r="P31" s="39">
        <f t="shared" si="4"/>
        <v>5</v>
      </c>
      <c r="Q31" s="45">
        <f t="shared" si="5"/>
        <v>5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>
        <v>10</v>
      </c>
      <c r="E32" s="68" t="s">
        <v>37</v>
      </c>
      <c r="F32" s="69">
        <v>4</v>
      </c>
      <c r="G32" s="70"/>
      <c r="H32" s="34" t="s">
        <v>63</v>
      </c>
      <c r="I32" s="35">
        <v>6</v>
      </c>
      <c r="J32" s="35"/>
      <c r="P32" s="39">
        <f t="shared" si="4"/>
        <v>6</v>
      </c>
      <c r="Q32" s="45">
        <f t="shared" si="5"/>
        <v>6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>
        <v>10</v>
      </c>
      <c r="E33" s="68" t="s">
        <v>35</v>
      </c>
      <c r="F33" s="69">
        <v>5</v>
      </c>
      <c r="G33" s="70"/>
      <c r="H33" s="34" t="s">
        <v>46</v>
      </c>
      <c r="I33" s="35">
        <v>4</v>
      </c>
      <c r="J33" s="35"/>
      <c r="P33" s="39">
        <f t="shared" si="4"/>
        <v>5</v>
      </c>
      <c r="Q33" s="45">
        <f t="shared" si="5"/>
        <v>5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>
        <v>1</v>
      </c>
      <c r="E34" s="68" t="s">
        <v>37</v>
      </c>
      <c r="F34" s="69">
        <v>2</v>
      </c>
      <c r="G34" s="70"/>
      <c r="H34" s="34" t="s">
        <v>64</v>
      </c>
      <c r="I34" s="35">
        <v>6</v>
      </c>
      <c r="J34" s="35"/>
      <c r="P34" s="39">
        <f t="shared" si="4"/>
        <v>-1</v>
      </c>
      <c r="Q34" s="45">
        <f t="shared" si="5"/>
        <v>1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>
        <v>6</v>
      </c>
      <c r="E35" s="68" t="s">
        <v>42</v>
      </c>
      <c r="F35" s="69">
        <v>3</v>
      </c>
      <c r="G35" s="70"/>
      <c r="H35" s="34" t="s">
        <v>65</v>
      </c>
      <c r="I35" s="35">
        <v>7</v>
      </c>
      <c r="J35" s="35"/>
      <c r="O35" s="36" t="e">
        <f>LOOKUP(E35,M12:M16,N12:N16)</f>
        <v>#N/A</v>
      </c>
      <c r="P35" s="39">
        <f t="shared" si="4"/>
        <v>3</v>
      </c>
      <c r="Q35" s="45">
        <f t="shared" si="5"/>
        <v>3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>
        <v>1</v>
      </c>
      <c r="E36" s="68" t="s">
        <v>37</v>
      </c>
      <c r="F36" s="69">
        <v>4</v>
      </c>
      <c r="G36" s="70"/>
      <c r="H36" s="34" t="s">
        <v>64</v>
      </c>
      <c r="I36" s="35">
        <v>6</v>
      </c>
      <c r="J36" s="35"/>
      <c r="P36" s="39">
        <f t="shared" si="4"/>
        <v>-3</v>
      </c>
      <c r="Q36" s="45">
        <f t="shared" si="5"/>
        <v>3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>
        <v>9</v>
      </c>
      <c r="E37" s="68" t="s">
        <v>38</v>
      </c>
      <c r="F37" s="69">
        <v>0</v>
      </c>
      <c r="G37" s="70"/>
      <c r="H37" s="34" t="s">
        <v>46</v>
      </c>
      <c r="I37" s="35">
        <v>5</v>
      </c>
      <c r="J37" s="35"/>
      <c r="P37" s="39">
        <f t="shared" si="4"/>
        <v>9</v>
      </c>
      <c r="Q37" s="45">
        <f t="shared" si="5"/>
        <v>9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>
        <v>2</v>
      </c>
      <c r="E38" s="68" t="s">
        <v>35</v>
      </c>
      <c r="F38" s="69">
        <v>5</v>
      </c>
      <c r="G38" s="70"/>
      <c r="H38" s="34" t="s">
        <v>45</v>
      </c>
      <c r="I38" s="35">
        <v>4</v>
      </c>
      <c r="J38" s="35"/>
      <c r="P38" s="39">
        <f t="shared" ref="P38:P42" si="6">D38-F38</f>
        <v>-3</v>
      </c>
      <c r="Q38" s="45">
        <f t="shared" ref="Q38:Q42" si="7">ABS(P38)</f>
        <v>3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>
        <v>5</v>
      </c>
      <c r="E39" s="68" t="s">
        <v>42</v>
      </c>
      <c r="F39" s="69">
        <v>4</v>
      </c>
      <c r="G39" s="70"/>
      <c r="H39" s="34" t="s">
        <v>57</v>
      </c>
      <c r="I39" s="35">
        <v>7</v>
      </c>
      <c r="J39" s="35"/>
      <c r="P39" s="39">
        <f t="shared" si="6"/>
        <v>1</v>
      </c>
      <c r="Q39" s="45">
        <f t="shared" si="7"/>
        <v>1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>
        <v>11</v>
      </c>
      <c r="E40" s="68" t="s">
        <v>19</v>
      </c>
      <c r="F40" s="69">
        <v>0</v>
      </c>
      <c r="G40" s="70"/>
      <c r="H40" s="34" t="s">
        <v>46</v>
      </c>
      <c r="I40" s="35">
        <v>1</v>
      </c>
      <c r="J40" s="35"/>
      <c r="P40" s="39">
        <f t="shared" si="6"/>
        <v>11</v>
      </c>
      <c r="Q40" s="45">
        <f t="shared" si="7"/>
        <v>11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>
        <v>4</v>
      </c>
      <c r="E41" s="68" t="s">
        <v>35</v>
      </c>
      <c r="F41" s="69">
        <v>19</v>
      </c>
      <c r="G41" s="70"/>
      <c r="H41" s="34" t="s">
        <v>45</v>
      </c>
      <c r="I41" s="35">
        <v>4</v>
      </c>
      <c r="J41" s="35"/>
      <c r="P41" s="39">
        <f t="shared" si="6"/>
        <v>-15</v>
      </c>
      <c r="Q41" s="45">
        <f t="shared" si="7"/>
        <v>15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>
        <v>2</v>
      </c>
      <c r="E42" s="68" t="s">
        <v>19</v>
      </c>
      <c r="F42" s="69">
        <v>10</v>
      </c>
      <c r="G42" s="70"/>
      <c r="H42" s="34" t="s">
        <v>47</v>
      </c>
      <c r="I42" s="35">
        <v>1</v>
      </c>
      <c r="J42" s="35"/>
      <c r="P42" s="39">
        <f t="shared" si="6"/>
        <v>-8</v>
      </c>
      <c r="Q42" s="45">
        <f t="shared" si="7"/>
        <v>8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>
        <v>8</v>
      </c>
      <c r="E43" s="68" t="s">
        <v>40</v>
      </c>
      <c r="F43" s="69">
        <v>1</v>
      </c>
      <c r="G43" s="70"/>
      <c r="H43" s="34" t="s">
        <v>49</v>
      </c>
      <c r="I43" s="35">
        <v>2</v>
      </c>
      <c r="J43" s="35"/>
      <c r="P43" s="39">
        <f t="shared" ref="P43:P44" si="8">D43-F43</f>
        <v>7</v>
      </c>
      <c r="Q43" s="45">
        <f t="shared" ref="Q43:Q44" si="9">ABS(P43)</f>
        <v>7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>
        <v>2</v>
      </c>
      <c r="E44" s="73" t="s">
        <v>37</v>
      </c>
      <c r="F44" s="74">
        <v>6</v>
      </c>
      <c r="G44" s="75"/>
      <c r="H44" s="34" t="s">
        <v>64</v>
      </c>
      <c r="I44" s="35">
        <v>6</v>
      </c>
      <c r="J44" s="35"/>
      <c r="P44" s="39">
        <f t="shared" si="8"/>
        <v>-4</v>
      </c>
      <c r="Q44" s="45">
        <f t="shared" si="9"/>
        <v>4</v>
      </c>
    </row>
    <row r="45" spans="1:17" s="36" customFormat="1" ht="15" thickBot="1" x14ac:dyDescent="0.35">
      <c r="A45" s="93"/>
      <c r="B45" s="94"/>
      <c r="C45" s="94"/>
      <c r="D45" s="94"/>
      <c r="E45" s="94"/>
      <c r="F45" s="94"/>
      <c r="G45" s="95"/>
      <c r="H45" s="34"/>
      <c r="I45" s="35"/>
      <c r="J45" s="35"/>
    </row>
    <row r="46" spans="1:17" s="36" customFormat="1" ht="15" thickBot="1" x14ac:dyDescent="0.35">
      <c r="A46" s="90" t="s">
        <v>44</v>
      </c>
      <c r="B46" s="91"/>
      <c r="C46" s="91"/>
      <c r="D46" s="91"/>
      <c r="E46" s="91"/>
      <c r="F46" s="91"/>
      <c r="G46" s="92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 t="s">
        <v>37</v>
      </c>
      <c r="D47" s="79">
        <v>0</v>
      </c>
      <c r="E47" s="78" t="s">
        <v>31</v>
      </c>
      <c r="F47" s="79">
        <v>8</v>
      </c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 t="s">
        <v>19</v>
      </c>
      <c r="D48" s="69">
        <v>3</v>
      </c>
      <c r="E48" s="68" t="s">
        <v>35</v>
      </c>
      <c r="F48" s="69">
        <v>9</v>
      </c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 t="s">
        <v>66</v>
      </c>
      <c r="C49" s="83" t="s">
        <v>35</v>
      </c>
      <c r="D49" s="84"/>
      <c r="E49" s="83" t="s">
        <v>31</v>
      </c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444</v>
      </c>
    </row>
    <row r="83" spans="3:8" x14ac:dyDescent="0.3">
      <c r="D83" s="53">
        <f>SUM(D3:D81)</f>
        <v>217</v>
      </c>
      <c r="F83" s="53">
        <f>SUM(F3:F81)</f>
        <v>227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2026-02-22T23:44:43Z</dcterms:modified>
</cp:coreProperties>
</file>