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389" documentId="13_ncr:1_{6D847147-14CC-4E2E-9F58-D0DC2A8D343C}" xr6:coauthVersionLast="47" xr6:coauthVersionMax="47" xr10:uidLastSave="{56D877D4-8425-4D83-9146-4C9357365320}"/>
  <bookViews>
    <workbookView xWindow="19605" yWindow="270" windowWidth="17730" windowHeight="20595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<sst xmlns="http://schemas.openxmlformats.org/spreadsheetml/2006/main" count="166" uniqueCount="61">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</sst>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0" fillId="0" borderId="0" xfId="0" applyBorder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C23" sqref="C23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4.28515625" style="1" customWidth="1"/>
    <col min="4" max="4" width="3.140625" style="1" customWidth="1"/>
    <col min="5" max="6" width="3.140625" customWidth="1"/>
    <col min="7" max="7" width="3.28515625" bestFit="1" customWidth="1"/>
    <col min="8" max="8" width="3.42578125" bestFit="1" customWidth="1"/>
    <col min="9" max="9" width="4.7109375" customWidth="1"/>
    <col min="10" max="10" width="4.85546875" customWidth="1"/>
    <col min="11" max="11" width="0.85546875" customWidth="1"/>
  </cols>
  <sheetData>
    <row r="1" spans="1:16" x14ac:dyDescent="0.25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.75" x14ac:dyDescent="0.25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25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25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25">
      <c r="A6" s="91"/>
      <c r="B6" s="49">
        <v>3</v>
      </c>
      <c r="C6" s="51" t="s">
        <v>40</v>
      </c>
      <c r="D6" s="23">
        <v>8</v>
      </c>
      <c r="E6" s="23">
        <v>3</v>
      </c>
      <c r="F6" s="23">
        <v>4</v>
      </c>
      <c r="G6" s="23">
        <v>1</v>
      </c>
      <c r="H6" s="50">
        <v>7</v>
      </c>
      <c r="I6" s="23">
        <v>20</v>
      </c>
      <c r="J6" s="52">
        <v>55</v>
      </c>
      <c r="K6" s="91"/>
      <c r="M6" s="4">
        <v>3</v>
      </c>
      <c r="N6" t="s">
        <v>13</v>
      </c>
    </row>
    <row r="7" spans="1:16" ht="18" customHeight="1" x14ac:dyDescent="0.25">
      <c r="A7" s="91"/>
      <c r="B7" s="49">
        <v>4</v>
      </c>
      <c r="C7" s="51" t="s">
        <v>19</v>
      </c>
      <c r="D7" s="23">
        <v>6</v>
      </c>
      <c r="E7" s="23">
        <v>3</v>
      </c>
      <c r="F7" s="23">
        <v>3</v>
      </c>
      <c r="G7" s="23">
        <v>0</v>
      </c>
      <c r="H7" s="50">
        <v>6</v>
      </c>
      <c r="I7" s="23">
        <v>24</v>
      </c>
      <c r="J7" s="52">
        <v>31</v>
      </c>
      <c r="K7" s="91"/>
      <c r="M7" s="4">
        <v>4</v>
      </c>
      <c r="N7" t="s">
        <v>15</v>
      </c>
    </row>
    <row r="8" spans="1:16" ht="18" customHeight="1" x14ac:dyDescent="0.25">
      <c r="A8" s="91"/>
      <c r="B8" s="49">
        <v>5</v>
      </c>
      <c r="C8" s="51" t="s">
        <v>37</v>
      </c>
      <c r="D8" s="23">
        <v>6</v>
      </c>
      <c r="E8" s="23">
        <v>1</v>
      </c>
      <c r="F8" s="23">
        <v>4</v>
      </c>
      <c r="G8" s="23">
        <v>1</v>
      </c>
      <c r="H8" s="50">
        <v>3</v>
      </c>
      <c r="I8" s="23">
        <v>12</v>
      </c>
      <c r="J8" s="52">
        <v>30</v>
      </c>
      <c r="K8" s="91"/>
      <c r="M8" s="4">
        <v>5</v>
      </c>
      <c r="N8" t="s">
        <v>17</v>
      </c>
    </row>
    <row r="9" spans="1:16" ht="18" customHeight="1" x14ac:dyDescent="0.25">
      <c r="A9" s="91"/>
      <c r="B9" s="49">
        <v>6</v>
      </c>
      <c r="C9" s="51" t="s">
        <v>38</v>
      </c>
      <c r="D9" s="23">
        <v>4</v>
      </c>
      <c r="E9" s="23">
        <v>1</v>
      </c>
      <c r="F9" s="23">
        <v>3</v>
      </c>
      <c r="G9" s="23">
        <v>0</v>
      </c>
      <c r="H9" s="50">
        <v>2</v>
      </c>
      <c r="I9" s="23">
        <v>13</v>
      </c>
      <c r="J9" s="52">
        <v>22</v>
      </c>
      <c r="K9" s="91"/>
    </row>
    <row r="10" spans="1:16" ht="18" customHeight="1" thickBot="1" x14ac:dyDescent="0.3">
      <c r="A10" s="91"/>
      <c r="B10" s="49">
        <v>7</v>
      </c>
      <c r="C10" s="51" t="s">
        <v>42</v>
      </c>
      <c r="D10" s="23">
        <v>6</v>
      </c>
      <c r="E10" s="23">
        <v>0</v>
      </c>
      <c r="F10" s="23">
        <v>5</v>
      </c>
      <c r="G10" s="23">
        <v>1</v>
      </c>
      <c r="H10" s="50">
        <v>1</v>
      </c>
      <c r="I10" s="23">
        <v>15</v>
      </c>
      <c r="J10" s="52">
        <v>69</v>
      </c>
      <c r="K10" s="91"/>
      <c r="M10" t="s">
        <v>14</v>
      </c>
    </row>
    <row r="11" spans="1:16" ht="18" hidden="1" customHeight="1" thickBot="1" x14ac:dyDescent="0.3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7.25" thickTop="1" thickBot="1" x14ac:dyDescent="0.3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25</v>
      </c>
    </row>
    <row r="13" spans="1:16" ht="15.75" x14ac:dyDescent="0.25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46030.786921296298</v>
      </c>
      <c r="H13" s="92"/>
      <c r="I13" s="92"/>
      <c r="J13" s="93"/>
      <c r="K13" s="1"/>
      <c r="M13" s="32"/>
      <c r="N13" s="32"/>
      <c r="O13" s="32"/>
    </row>
    <row r="14" spans="1:16" ht="52.9" customHeight="1" thickBot="1" x14ac:dyDescent="0.3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25">
      <c r="G15" s="89" t="s">
        <v>18</v>
      </c>
      <c r="H15" s="89"/>
      <c r="I15" s="7">
        <f>SUM(I4:I12)</f>
        <v>234</v>
      </c>
      <c r="J15" s="7">
        <f>SUM(J4:J12)</f>
        <v>234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28" sqref="A28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3" bestFit="1" customWidth="1"/>
    <col min="5" max="5" width="10.85546875" style="19" bestFit="1" customWidth="1"/>
    <col min="6" max="6" width="3.28515625" style="53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6.5" thickTop="1" thickBot="1" x14ac:dyDescent="0.3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23</v>
      </c>
      <c r="U2" s="65"/>
    </row>
    <row r="3" spans="1:21" s="36" customFormat="1" ht="16.5" thickTop="1" thickBot="1" x14ac:dyDescent="0.3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3</v>
      </c>
      <c r="U3" s="41">
        <f>IF($T$2&gt;0, T3/$T$2, 0)</f>
        <v>0.13043478260869565</v>
      </c>
    </row>
    <row r="4" spans="1:21" s="36" customFormat="1" ht="16.5" thickTop="1" thickBot="1" x14ac:dyDescent="0.3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8.6956521739130432E-2</v>
      </c>
    </row>
    <row r="5" spans="1:21" s="36" customFormat="1" ht="16.5" thickTop="1" thickBot="1" x14ac:dyDescent="0.3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0.13043478260869565</v>
      </c>
    </row>
    <row r="6" spans="1:21" s="36" customFormat="1" ht="16.5" thickTop="1" thickBot="1" x14ac:dyDescent="0.3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0.13043478260869565</v>
      </c>
    </row>
    <row r="7" spans="1:21" s="36" customFormat="1" ht="16.5" thickTop="1" thickBot="1" x14ac:dyDescent="0.3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12</v>
      </c>
      <c r="U7" s="44">
        <f>IF($T$2&gt;0, T7/$T$2, 0)</f>
        <v>0.52173913043478259</v>
      </c>
    </row>
    <row r="8" spans="1:21" s="36" customFormat="1" ht="16.5" thickTop="1" thickBot="1" x14ac:dyDescent="0.3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>D8-F8</f>
        <v>2</v>
      </c>
      <c r="Q8" s="45">
        <f>ABS(P8)</f>
        <v>2</v>
      </c>
      <c r="U8" s="46"/>
    </row>
    <row r="9" spans="1:21" s="36" customFormat="1" ht="16.5" thickTop="1" thickBot="1" x14ac:dyDescent="0.3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>D9-F9</f>
        <v>-7</v>
      </c>
      <c r="Q9" s="45">
        <f>ABS(P9)</f>
        <v>7</v>
      </c>
      <c r="U9" s="46"/>
    </row>
    <row r="10" spans="1:21" s="36" customFormat="1" ht="16.5" thickTop="1" thickBot="1" x14ac:dyDescent="0.3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>D10-F10</f>
        <v>3</v>
      </c>
      <c r="Q10" s="45">
        <f>ABS(P10)</f>
        <v>3</v>
      </c>
      <c r="U10" s="47"/>
    </row>
    <row r="11" spans="1:21" s="36" customFormat="1" ht="16.5" thickTop="1" thickBot="1" x14ac:dyDescent="0.3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>D11-F11</f>
        <v>-4</v>
      </c>
      <c r="Q11" s="45">
        <f>ABS(P11)</f>
        <v>4</v>
      </c>
    </row>
    <row r="12" spans="1:21" s="36" customFormat="1" ht="15.75" thickTop="1" x14ac:dyDescent="0.25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>D12-F12</f>
        <v>17</v>
      </c>
      <c r="Q12" s="45">
        <f>ABS(P12)</f>
        <v>17</v>
      </c>
    </row>
    <row r="13" spans="1:21" s="36" customFormat="1" x14ac:dyDescent="0.25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>D13-F13</f>
        <v>-13</v>
      </c>
      <c r="Q13" s="45">
        <f>ABS(P13)</f>
        <v>13</v>
      </c>
    </row>
    <row r="14" spans="1:21" s="36" customFormat="1" x14ac:dyDescent="0.25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>D14-F14</f>
        <v>-1</v>
      </c>
      <c r="Q14" s="45">
        <f>ABS(P14)</f>
        <v>1</v>
      </c>
    </row>
    <row r="15" spans="1:21" s="36" customFormat="1" x14ac:dyDescent="0.25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>D15-F15</f>
        <v>7</v>
      </c>
      <c r="Q15" s="45">
        <f>ABS(P15)</f>
        <v>7</v>
      </c>
    </row>
    <row r="16" spans="1:21" s="36" customFormat="1" x14ac:dyDescent="0.25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>D16-F16</f>
        <v>1</v>
      </c>
      <c r="Q16" s="45">
        <f>ABS(P16)</f>
        <v>1</v>
      </c>
    </row>
    <row r="17" spans="1:21" s="36" customFormat="1" x14ac:dyDescent="0.25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>D17-F17</f>
        <v>-17</v>
      </c>
      <c r="Q17" s="45">
        <f>ABS(P17)</f>
        <v>17</v>
      </c>
    </row>
    <row r="18" spans="1:21" s="36" customFormat="1" x14ac:dyDescent="0.25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>D18-F18</f>
        <v>2</v>
      </c>
      <c r="Q18" s="45">
        <f>ABS(P18)</f>
        <v>2</v>
      </c>
    </row>
    <row r="19" spans="1:21" s="36" customFormat="1" x14ac:dyDescent="0.25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>D19-F19</f>
        <v>3</v>
      </c>
      <c r="Q19" s="45">
        <f>ABS(P19)</f>
        <v>3</v>
      </c>
    </row>
    <row r="20" spans="1:21" s="36" customFormat="1" x14ac:dyDescent="0.25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>D20-F20</f>
        <v>-4</v>
      </c>
      <c r="Q20" s="45">
        <f>ABS(P20)</f>
        <v>4</v>
      </c>
    </row>
    <row r="21" spans="1:21" s="36" customFormat="1" x14ac:dyDescent="0.25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>D21-F21</f>
        <v>11</v>
      </c>
      <c r="Q21" s="45">
        <f>ABS(P21)</f>
        <v>11</v>
      </c>
    </row>
    <row r="22" spans="1:21" s="36" customFormat="1" x14ac:dyDescent="0.25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>D22-F22</f>
        <v>-6</v>
      </c>
      <c r="Q22" s="45">
        <f>ABS(P22)</f>
        <v>6</v>
      </c>
    </row>
    <row r="23" spans="1:21" s="36" customFormat="1" x14ac:dyDescent="0.25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>D23-F23</f>
        <v>3</v>
      </c>
      <c r="Q23" s="45">
        <f>ABS(P23)</f>
        <v>3</v>
      </c>
    </row>
    <row r="24" spans="1:21" s="36" customFormat="1" x14ac:dyDescent="0.25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>D24-F24</f>
        <v>8</v>
      </c>
      <c r="Q24" s="45">
        <f>ABS(P24)</f>
        <v>8</v>
      </c>
    </row>
    <row r="25" spans="1:21" s="36" customFormat="1" x14ac:dyDescent="0.25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>D25-F25</f>
        <v>-1</v>
      </c>
      <c r="Q25" s="45">
        <f>ABS(P25)</f>
        <v>1</v>
      </c>
    </row>
    <row r="26" spans="1:21" s="36" customFormat="1" x14ac:dyDescent="0.25">
      <c r="A26" s="66">
        <v>26</v>
      </c>
      <c r="B26" s="67">
        <v>46039</v>
      </c>
      <c r="C26" s="68" t="s">
        <v>19</v>
      </c>
      <c r="D26" s="69"/>
      <c r="E26" s="68" t="s">
        <v>38</v>
      </c>
      <c r="F26" s="69"/>
      <c r="G26" s="70"/>
      <c r="H26" s="34"/>
      <c r="I26" s="35"/>
      <c r="J26" s="35"/>
      <c r="P26" s="39">
        <f>D26-F26</f>
        <v>0</v>
      </c>
      <c r="Q26" s="45">
        <f>ABS(P26)</f>
        <v>0</v>
      </c>
    </row>
    <row r="27" spans="1:21" s="36" customFormat="1" x14ac:dyDescent="0.25">
      <c r="A27" s="66">
        <v>27</v>
      </c>
      <c r="B27" s="67">
        <v>46040</v>
      </c>
      <c r="C27" s="68" t="s">
        <v>37</v>
      </c>
      <c r="D27" s="69"/>
      <c r="E27" s="68" t="s">
        <v>42</v>
      </c>
      <c r="F27" s="69"/>
      <c r="G27" s="70"/>
      <c r="H27" s="34"/>
      <c r="I27" s="35"/>
      <c r="J27" s="35"/>
      <c r="P27" s="39">
        <f>D27-F27</f>
        <v>0</v>
      </c>
      <c r="Q27" s="45">
        <f>ABS(P27)</f>
        <v>0</v>
      </c>
    </row>
    <row r="28" spans="1:21" s="36" customFormat="1" x14ac:dyDescent="0.25">
      <c r="A28" s="66">
        <v>28</v>
      </c>
      <c r="B28" s="67">
        <v>46045</v>
      </c>
      <c r="C28" s="68" t="s">
        <v>38</v>
      </c>
      <c r="D28" s="69"/>
      <c r="E28" s="68" t="s">
        <v>31</v>
      </c>
      <c r="F28" s="69"/>
      <c r="G28" s="70"/>
      <c r="H28" s="34"/>
      <c r="I28" s="35"/>
      <c r="J28" s="35"/>
      <c r="P28" s="39">
        <f>D28-F28</f>
        <v>0</v>
      </c>
      <c r="Q28" s="45">
        <f>ABS(P28)</f>
        <v>0</v>
      </c>
    </row>
    <row r="29" spans="1:21" s="36" customFormat="1" x14ac:dyDescent="0.25">
      <c r="A29" s="66">
        <v>7</v>
      </c>
      <c r="B29" s="67">
        <v>46046</v>
      </c>
      <c r="C29" s="68" t="s">
        <v>37</v>
      </c>
      <c r="D29" s="69"/>
      <c r="E29" s="68" t="s">
        <v>19</v>
      </c>
      <c r="F29" s="69"/>
      <c r="G29" s="70"/>
      <c r="H29" s="34"/>
      <c r="I29" s="35"/>
      <c r="J29" s="35"/>
      <c r="M29" s="115"/>
      <c r="N29" s="115"/>
      <c r="P29" s="39">
        <f>D29-F29</f>
        <v>0</v>
      </c>
      <c r="Q29" s="45">
        <f>ABS(P29)</f>
        <v>0</v>
      </c>
      <c r="U29" s="46">
        <f>SUM(U24:U28)</f>
        <v>0</v>
      </c>
    </row>
    <row r="30" spans="1:21" s="36" customFormat="1" x14ac:dyDescent="0.25">
      <c r="A30" s="66">
        <v>29</v>
      </c>
      <c r="B30" s="67">
        <v>46046</v>
      </c>
      <c r="C30" s="68" t="s">
        <v>38</v>
      </c>
      <c r="D30" s="69"/>
      <c r="E30" s="68" t="s">
        <v>40</v>
      </c>
      <c r="F30" s="69"/>
      <c r="G30" s="70"/>
      <c r="H30" s="34"/>
      <c r="I30" s="35"/>
      <c r="J30" s="35"/>
      <c r="P30" s="39">
        <f t="shared" ref="P24:P37" si="2">D30-F30</f>
        <v>0</v>
      </c>
      <c r="Q30" s="45">
        <f t="shared" ref="Q24:Q37" si="3">ABS(P30)</f>
        <v>0</v>
      </c>
    </row>
    <row r="31" spans="1:21" s="36" customFormat="1" x14ac:dyDescent="0.25">
      <c r="A31" s="66">
        <v>30</v>
      </c>
      <c r="B31" s="67">
        <v>46047</v>
      </c>
      <c r="C31" s="68" t="s">
        <v>19</v>
      </c>
      <c r="D31" s="69"/>
      <c r="E31" s="68" t="s">
        <v>42</v>
      </c>
      <c r="F31" s="69"/>
      <c r="G31" s="70"/>
      <c r="H31" s="34"/>
      <c r="I31" s="35"/>
      <c r="J31" s="35"/>
      <c r="P31" s="39">
        <f t="shared" si="2"/>
        <v>0</v>
      </c>
      <c r="Q31" s="45">
        <f t="shared" si="3"/>
        <v>0</v>
      </c>
    </row>
    <row r="32" spans="1:21" s="36" customFormat="1" x14ac:dyDescent="0.25">
      <c r="A32" s="66">
        <v>31</v>
      </c>
      <c r="B32" s="67">
        <v>46053</v>
      </c>
      <c r="C32" s="68" t="s">
        <v>31</v>
      </c>
      <c r="D32" s="69"/>
      <c r="E32" s="68" t="s">
        <v>35</v>
      </c>
      <c r="F32" s="69"/>
      <c r="G32" s="70"/>
      <c r="H32" s="34"/>
      <c r="I32" s="35"/>
      <c r="J32" s="35"/>
      <c r="P32" s="39">
        <f t="shared" si="2"/>
        <v>0</v>
      </c>
      <c r="Q32" s="45">
        <f t="shared" si="3"/>
        <v>0</v>
      </c>
    </row>
    <row r="33" spans="1:17" s="36" customFormat="1" x14ac:dyDescent="0.25">
      <c r="A33" s="66">
        <v>32</v>
      </c>
      <c r="B33" s="67">
        <v>46053</v>
      </c>
      <c r="C33" s="68" t="s">
        <v>40</v>
      </c>
      <c r="D33" s="69"/>
      <c r="E33" s="68" t="s">
        <v>37</v>
      </c>
      <c r="F33" s="69"/>
      <c r="G33" s="70"/>
      <c r="H33" s="34"/>
      <c r="I33" s="35"/>
      <c r="J33" s="35"/>
      <c r="P33" s="39">
        <f t="shared" si="2"/>
        <v>0</v>
      </c>
      <c r="Q33" s="45">
        <f t="shared" si="3"/>
        <v>0</v>
      </c>
    </row>
    <row r="34" spans="1:17" s="36" customFormat="1" x14ac:dyDescent="0.25">
      <c r="A34" s="66">
        <v>33</v>
      </c>
      <c r="B34" s="67">
        <v>46053</v>
      </c>
      <c r="C34" s="68" t="s">
        <v>38</v>
      </c>
      <c r="D34" s="69"/>
      <c r="E34" s="68" t="s">
        <v>42</v>
      </c>
      <c r="F34" s="69"/>
      <c r="G34" s="70"/>
      <c r="H34" s="34"/>
      <c r="I34" s="35"/>
      <c r="J34" s="35"/>
      <c r="P34" s="39">
        <f t="shared" si="2"/>
        <v>0</v>
      </c>
      <c r="Q34" s="45">
        <f t="shared" si="3"/>
        <v>0</v>
      </c>
    </row>
    <row r="35" spans="1:17" s="36" customFormat="1" x14ac:dyDescent="0.25">
      <c r="A35" s="66">
        <v>22</v>
      </c>
      <c r="B35" s="67">
        <v>46059</v>
      </c>
      <c r="C35" s="68" t="s">
        <v>19</v>
      </c>
      <c r="D35" s="69"/>
      <c r="E35" s="68" t="s">
        <v>37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2"/>
        <v>0</v>
      </c>
      <c r="Q35" s="45">
        <f t="shared" si="3"/>
        <v>0</v>
      </c>
    </row>
    <row r="36" spans="1:17" s="36" customFormat="1" x14ac:dyDescent="0.25">
      <c r="A36" s="66">
        <v>34</v>
      </c>
      <c r="B36" s="67">
        <v>46059</v>
      </c>
      <c r="C36" s="68" t="s">
        <v>31</v>
      </c>
      <c r="D36" s="69"/>
      <c r="E36" s="68" t="s">
        <v>38</v>
      </c>
      <c r="F36" s="69"/>
      <c r="G36" s="70"/>
      <c r="H36" s="34"/>
      <c r="I36" s="35"/>
      <c r="J36" s="35"/>
      <c r="P36" s="39">
        <f t="shared" si="2"/>
        <v>0</v>
      </c>
      <c r="Q36" s="45">
        <f t="shared" si="3"/>
        <v>0</v>
      </c>
    </row>
    <row r="37" spans="1:17" s="36" customFormat="1" x14ac:dyDescent="0.25">
      <c r="A37" s="66">
        <v>35</v>
      </c>
      <c r="B37" s="67">
        <v>46060</v>
      </c>
      <c r="C37" s="68" t="s">
        <v>38</v>
      </c>
      <c r="D37" s="69"/>
      <c r="E37" s="68" t="s">
        <v>35</v>
      </c>
      <c r="F37" s="69"/>
      <c r="G37" s="70"/>
      <c r="H37" s="34"/>
      <c r="I37" s="35"/>
      <c r="J37" s="35"/>
      <c r="P37" s="39">
        <f t="shared" si="2"/>
        <v>0</v>
      </c>
      <c r="Q37" s="45">
        <f t="shared" si="3"/>
        <v>0</v>
      </c>
    </row>
    <row r="38" spans="1:17" s="36" customFormat="1" x14ac:dyDescent="0.25">
      <c r="A38" s="66">
        <v>36</v>
      </c>
      <c r="B38" s="67">
        <v>46060</v>
      </c>
      <c r="C38" s="68" t="s">
        <v>40</v>
      </c>
      <c r="D38" s="69"/>
      <c r="E38" s="68" t="s">
        <v>42</v>
      </c>
      <c r="F38" s="69"/>
      <c r="G38" s="70"/>
      <c r="H38" s="34"/>
      <c r="I38" s="35"/>
      <c r="J38" s="35"/>
      <c r="P38" s="39">
        <f t="shared" ref="P38:P42" si="4">D38-F38</f>
        <v>0</v>
      </c>
      <c r="Q38" s="45">
        <f t="shared" ref="Q38:Q42" si="5">ABS(P38)</f>
        <v>0</v>
      </c>
    </row>
    <row r="39" spans="1:17" s="36" customFormat="1" x14ac:dyDescent="0.25">
      <c r="A39" s="66">
        <v>37</v>
      </c>
      <c r="B39" s="67">
        <v>46060</v>
      </c>
      <c r="C39" s="68" t="s">
        <v>31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4"/>
        <v>0</v>
      </c>
      <c r="Q39" s="45">
        <f t="shared" si="5"/>
        <v>0</v>
      </c>
    </row>
    <row r="40" spans="1:17" s="36" customFormat="1" x14ac:dyDescent="0.25">
      <c r="A40" s="66">
        <v>38</v>
      </c>
      <c r="B40" s="67">
        <v>46061</v>
      </c>
      <c r="C40" s="68" t="s">
        <v>42</v>
      </c>
      <c r="D40" s="69"/>
      <c r="E40" s="68" t="s">
        <v>37</v>
      </c>
      <c r="F40" s="69"/>
      <c r="G40" s="70"/>
      <c r="H40" s="34"/>
      <c r="I40" s="35"/>
      <c r="J40" s="35"/>
      <c r="P40" s="39">
        <f t="shared" si="4"/>
        <v>0</v>
      </c>
      <c r="Q40" s="45">
        <f t="shared" si="5"/>
        <v>0</v>
      </c>
    </row>
    <row r="41" spans="1:17" s="36" customFormat="1" x14ac:dyDescent="0.25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4"/>
        <v>0</v>
      </c>
      <c r="Q41" s="45">
        <f t="shared" si="5"/>
        <v>0</v>
      </c>
    </row>
    <row r="42" spans="1:17" s="36" customFormat="1" x14ac:dyDescent="0.25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4"/>
        <v>0</v>
      </c>
      <c r="Q42" s="45">
        <f t="shared" si="5"/>
        <v>0</v>
      </c>
    </row>
    <row r="43" spans="1:17" s="36" customFormat="1" x14ac:dyDescent="0.25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6">D43-F43</f>
        <v>0</v>
      </c>
      <c r="Q43" s="45">
        <f t="shared" ref="Q43:Q44" si="7">ABS(P43)</f>
        <v>0</v>
      </c>
    </row>
    <row r="44" spans="1:17" s="36" customFormat="1" ht="15.75" thickBot="1" x14ac:dyDescent="0.3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6"/>
        <v>0</v>
      </c>
      <c r="Q44" s="45">
        <f t="shared" si="7"/>
        <v>0</v>
      </c>
    </row>
    <row r="45" spans="1:17" s="36" customFormat="1" ht="15.75" thickBot="1" x14ac:dyDescent="0.3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.75" thickBot="1" x14ac:dyDescent="0.3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25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25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.75" thickBot="1" x14ac:dyDescent="0.3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25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25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25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25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25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25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25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25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25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25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25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25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25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25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25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25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25">
      <c r="C81" s="21"/>
      <c r="D81" s="55"/>
      <c r="E81" s="21"/>
      <c r="F81" s="55"/>
    </row>
    <row r="82" spans="3:8" x14ac:dyDescent="0.25">
      <c r="H82">
        <f>D83+F83</f>
        <v>234</v>
      </c>
    </row>
    <row r="83" spans="3:8" x14ac:dyDescent="0.25">
      <c r="D83" s="53">
        <f>SUM(D3:D81)</f>
        <v>113</v>
      </c>
      <c r="F83" s="53">
        <f>SUM(F3:F81)</f>
        <v>121</v>
      </c>
    </row>
  </sheetData>
  <sortState xmlns:xlrd2="http://schemas.microsoft.com/office/spreadsheetml/2017/richdata2" ref="A8:U29">
    <sortCondition ref="B8:B29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2026-01-08T23:53:29Z</dcterms:modified>
</cp:coreProperties>
</file>