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279" documentId="13_ncr:1_{6D847147-14CC-4E2E-9F58-D0DC2A8D343C}" xr6:coauthVersionLast="47" xr6:coauthVersionMax="47" xr10:uidLastSave="{CCA9C53D-24E3-49BC-AA97-C5B2A555B6B0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<sst xmlns="http://schemas.openxmlformats.org/spreadsheetml/2006/main" count="118" uniqueCount="52">
  <si>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</si>
  <si>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</si>
  <si>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</si>
  <si>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</si>
  <si>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</si>
  <si>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</si>
  <si>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</si>
  <si>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</si>
  <si>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</si>
  <si>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</si>
  <si>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</si>
  <si>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</si>
  <si>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</si>
  <si>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</si>
  <si>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</si>
  <si>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</si>
  <si>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</si>
  <si>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</si>
  <si>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</si>
  <si>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</si>
  <si>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</si>
  <si>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</si>
  <si>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</si>
  <si>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</si>
  <si>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</si>
  <si>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</si>
  <si>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</si>
  <si>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</si>
  <si>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</si>
  <si>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</si>
  <si>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</si>
  <si>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</si>
  <si>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</si>
  <si>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</si>
  <si>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</si>
  <si>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</si>
  <si>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</si>
  <si>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</si>
  <si>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</si>
  <si>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</si>
  <si>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</si>
  <si>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</si>
  <si>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</si>
  <si>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</si>
  <si>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</si>
  <si>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</si>
  <si>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</si>
  <si>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</si>
  <si>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</si>
  <si>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</si>
  <si>
    <t>**</t>
  </si>
  <si>
    <t>TCNJ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</si>
</sst>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1"/>
    </row>
    <row r="3" spans="1:16" ht="18" x14ac:dyDescent="0.3">
      <c r="A3" s="99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90" t="s">
        <v>42</v>
      </c>
      <c r="D4" s="92">
        <v>1</v>
      </c>
      <c r="E4" s="92">
        <v>1</v>
      </c>
      <c r="F4" s="92">
        <v>0</v>
      </c>
      <c r="G4" s="92">
        <v>0</v>
      </c>
      <c r="H4" s="92">
        <v>2</v>
      </c>
      <c r="I4" s="92">
        <v>2</v>
      </c>
      <c r="J4" s="93">
        <v>1</v>
      </c>
      <c r="K4" s="83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91" t="s">
        <v>40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9">
        <v>0</v>
      </c>
      <c r="K5" s="83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91" t="s">
        <v>48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9">
        <v>0</v>
      </c>
      <c r="K6" s="83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91" t="s">
        <v>45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9">
        <v>0</v>
      </c>
      <c r="K7" s="83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91" t="s">
        <v>44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9">
        <v>0</v>
      </c>
      <c r="K8" s="83"/>
      <c r="M8" s="4">
        <v>5</v>
      </c>
      <c r="N8" t="s">
        <v>17</v>
      </c>
    </row>
    <row r="9" spans="1:16" ht="18" customHeight="1" thickBot="1" x14ac:dyDescent="0.35">
      <c r="A9" s="99"/>
      <c r="B9" s="57">
        <v>6</v>
      </c>
      <c r="C9" s="91" t="s">
        <v>47</v>
      </c>
      <c r="D9" s="23">
        <v>1</v>
      </c>
      <c r="E9" s="23">
        <v>0</v>
      </c>
      <c r="F9" s="23">
        <v>0</v>
      </c>
      <c r="G9" s="23">
        <v>1</v>
      </c>
      <c r="H9" s="23">
        <v>1</v>
      </c>
      <c r="I9" s="23">
        <v>1</v>
      </c>
      <c r="J9" s="79">
        <v>2</v>
      </c>
      <c r="K9" s="83"/>
      <c r="M9" t="s">
        <v>14</v>
      </c>
    </row>
    <row r="10" spans="1:16" ht="18" hidden="1" customHeight="1" thickBot="1" x14ac:dyDescent="0.35">
      <c r="A10" s="99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84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96" t="s">
        <v>16</v>
      </c>
      <c r="N12" s="96"/>
      <c r="O12" s="96"/>
      <c r="P12" s="5">
        <v>1</v>
      </c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46299.926354166666</v>
      </c>
      <c r="I13" s="108"/>
      <c r="J13" s="109"/>
      <c r="K13" s="86"/>
      <c r="M13" s="32"/>
      <c r="N13" s="32"/>
      <c r="O13" s="32"/>
    </row>
    <row r="14" spans="1:16" ht="62.4" customHeight="1" thickBot="1" x14ac:dyDescent="0.35">
      <c r="B14" s="33"/>
      <c r="C14" s="103" t="s">
        <v>49</v>
      </c>
      <c r="D14" s="104"/>
      <c r="E14" s="104"/>
      <c r="F14" s="104"/>
      <c r="G14" s="104"/>
      <c r="H14" s="104"/>
      <c r="I14" s="104"/>
      <c r="J14" s="105"/>
      <c r="K14" s="87"/>
    </row>
    <row r="15" spans="1:16" x14ac:dyDescent="0.3">
      <c r="G15" s="97" t="s">
        <v>18</v>
      </c>
      <c r="H15" s="97"/>
      <c r="I15" s="7">
        <f>SUM(I4:I12)</f>
        <v>3</v>
      </c>
      <c r="J15" s="7">
        <f>SUM(J4:J12)</f>
        <v>3</v>
      </c>
      <c r="K15" s="7"/>
    </row>
  </sheetData>
  <sortState xmlns:xlrd2="http://schemas.microsoft.com/office/spreadsheetml/2017/richdata2" ref="C4:K9">
    <sortCondition descending="1" ref="K4:K9"/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A3" sqref="A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1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>
        <v>1</v>
      </c>
      <c r="E3" s="36" t="s">
        <v>42</v>
      </c>
      <c r="F3" s="59">
        <v>2</v>
      </c>
      <c r="G3" s="37" t="s">
        <v>50</v>
      </c>
      <c r="H3" s="38" t="s">
        <v>51</v>
      </c>
      <c r="I3" s="39">
        <v>5</v>
      </c>
      <c r="J3" s="39"/>
      <c r="M3" s="41" t="s">
        <v>41</v>
      </c>
      <c r="N3" s="42">
        <v>3</v>
      </c>
      <c r="P3" s="43">
        <f>D3-F3</f>
        <v>-1</v>
      </c>
      <c r="Q3" s="40">
        <f>ABS(P3)</f>
        <v>1</v>
      </c>
      <c r="R3" s="44">
        <v>1</v>
      </c>
      <c r="S3" s="40" t="s">
        <v>25</v>
      </c>
      <c r="T3" s="40">
        <f>COUNTIF($Q$3:$Q$32,R3)</f>
        <v>1</v>
      </c>
      <c r="U3" s="45">
        <f>IF($T$2&gt;0, T3/$T$2, 0)</f>
        <v>1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/>
      <c r="E4" s="36" t="s">
        <v>44</v>
      </c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/>
      <c r="E5" s="36" t="s">
        <v>45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/>
      <c r="E6" s="36" t="s">
        <v>44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/>
      <c r="E10" s="36" t="s">
        <v>45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/>
      <c r="E11" s="36" t="s">
        <v>44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16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17</v>
      </c>
      <c r="B18" s="35">
        <v>46348</v>
      </c>
      <c r="C18" s="36" t="s">
        <v>40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18</v>
      </c>
      <c r="B19" s="35">
        <v>46362</v>
      </c>
      <c r="C19" s="36" t="s">
        <v>46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19</v>
      </c>
      <c r="B20" s="35">
        <v>46362</v>
      </c>
      <c r="C20" s="36" t="s">
        <v>44</v>
      </c>
      <c r="D20" s="59"/>
      <c r="E20" s="36" t="s">
        <v>40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20</v>
      </c>
      <c r="B21" s="35">
        <v>46410</v>
      </c>
      <c r="C21" s="36" t="s">
        <v>47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21</v>
      </c>
      <c r="B22" s="35">
        <v>46411</v>
      </c>
      <c r="C22" s="36" t="s">
        <v>44</v>
      </c>
      <c r="D22" s="59"/>
      <c r="E22" s="36" t="s">
        <v>46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15</v>
      </c>
      <c r="B23" s="35">
        <v>46417</v>
      </c>
      <c r="C23" s="36" t="s">
        <v>44</v>
      </c>
      <c r="D23" s="59"/>
      <c r="E23" s="36" t="s">
        <v>45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3</v>
      </c>
    </row>
    <row r="73" spans="1:10" x14ac:dyDescent="0.3">
      <c r="D73" s="58">
        <f>SUM(D3:D71)</f>
        <v>1</v>
      </c>
      <c r="F73" s="58">
        <f>SUM(F3:F71)</f>
        <v>2</v>
      </c>
    </row>
  </sheetData>
  <sortState xmlns:xlrd2="http://schemas.microsoft.com/office/spreadsheetml/2017/richdata2" ref="A3:J28">
    <sortCondition ref="B3:B28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2026-10-06T23:47:03Z</dcterms:modified>
</cp:coreProperties>
</file>