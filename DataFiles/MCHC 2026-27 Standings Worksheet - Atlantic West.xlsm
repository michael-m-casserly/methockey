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634" documentId="13_ncr:1_{6D847147-14CC-4E2E-9F58-D0DC2A8D343C}" xr6:coauthVersionLast="47" xr6:coauthVersionMax="47" xr10:uidLastSave="{A94388D1-FBE4-4D1E-A38C-29963354605E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<sst xmlns="http://schemas.openxmlformats.org/spreadsheetml/2006/main" count="129" uniqueCount="60">
  <si>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</si>
  <si>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</si>
  <si>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</si>
  <si>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</si>
  <si>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</si>
  <si>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</si>
  <si>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</si>
  <si>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</si>
  <si>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</si>
  <si>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</si>
  <si>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</si>
  <si>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</si>
  <si>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</si>
  <si>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</si>
  <si>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</si>
  <si>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</si>
  <si>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</si>
  <si>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</si>
  <si>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</si>
  <si>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</si>
  <si>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</si>
  <si>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</si>
  <si>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</si>
  <si>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</si>
  <si>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</si>
  <si>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</si>
  <si>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</si>
  <si>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</si>
  <si>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</si>
  <si>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</si>
  <si>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</si>
  <si>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</si>
  <si>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</si>
  <si>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</si>
  <si>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</si>
  <si>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</si>
  <si>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</si>
  <si>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</si>
  <si>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</si>
  <si>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</si>
  <si>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</si>
  <si>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</si>
  <si>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</si>
  <si>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</si>
  <si>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</si>
  <si>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</si>
  <si>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</si>
  <si>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</si>
  <si>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</si>
  <si>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</si>
  <si>
    <t>**</t>
  </si>
  <si>
    <t>TCNJ in OT/SO</t>
  </si>
  <si>
    <t>Yeshiva (Home) Wins</t>
  </si>
  <si>
    <t>*</t>
  </si>
  <si>
    <t>TCNJ (Home) Wins</t>
  </si>
  <si>
    <t>Stevens in OT/SO</t>
  </si>
  <si>
    <t>TCNJ (Away) Wins</t>
  </si>
  <si>
    <t>NJIT (Home) Wins</t>
  </si>
  <si>
    <t>Stevens (Away) Wins</t>
  </si>
  <si>
    <t>Seton Hall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</si>
</sst>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81"/>
    </row>
    <row r="3" spans="1:16" ht="18" x14ac:dyDescent="0.3">
      <c r="A3" s="107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102" t="s">
        <v>10</v>
      </c>
      <c r="N3" s="103"/>
      <c r="O3" s="103"/>
      <c r="P3" s="103"/>
    </row>
    <row r="4" spans="1:16" ht="18" customHeight="1" x14ac:dyDescent="0.3">
      <c r="A4" s="107"/>
      <c r="B4" s="57">
        <v>1</v>
      </c>
      <c r="C4" s="90" t="s">
        <v>42</v>
      </c>
      <c r="D4" s="92">
        <v>5</v>
      </c>
      <c r="E4" s="92">
        <v>4</v>
      </c>
      <c r="F4" s="92">
        <v>1</v>
      </c>
      <c r="G4" s="92">
        <v>0</v>
      </c>
      <c r="H4" s="92">
        <v>8</v>
      </c>
      <c r="I4" s="92">
        <v>16</v>
      </c>
      <c r="J4" s="93">
        <v>9</v>
      </c>
      <c r="K4" s="83"/>
      <c r="M4" s="4">
        <v>1</v>
      </c>
      <c r="N4" t="s">
        <v>11</v>
      </c>
    </row>
    <row r="5" spans="1:16" ht="18" customHeight="1" x14ac:dyDescent="0.3">
      <c r="A5" s="107"/>
      <c r="B5" s="57">
        <v>2</v>
      </c>
      <c r="C5" s="91" t="s">
        <v>47</v>
      </c>
      <c r="D5" s="23">
        <v>3</v>
      </c>
      <c r="E5" s="23">
        <v>2</v>
      </c>
      <c r="F5" s="23">
        <v>0</v>
      </c>
      <c r="G5" s="23">
        <v>1</v>
      </c>
      <c r="H5" s="23">
        <v>5</v>
      </c>
      <c r="I5" s="23">
        <v>11</v>
      </c>
      <c r="J5" s="79">
        <v>5</v>
      </c>
      <c r="K5" s="83"/>
      <c r="M5" s="4">
        <v>2</v>
      </c>
      <c r="N5" t="s">
        <v>12</v>
      </c>
    </row>
    <row r="6" spans="1:16" ht="18" customHeight="1" x14ac:dyDescent="0.3">
      <c r="A6" s="107"/>
      <c r="B6" s="57">
        <v>3</v>
      </c>
      <c r="C6" s="91" t="s">
        <v>40</v>
      </c>
      <c r="D6" s="23">
        <v>3</v>
      </c>
      <c r="E6" s="23">
        <v>2</v>
      </c>
      <c r="F6" s="23">
        <v>0</v>
      </c>
      <c r="G6" s="23">
        <v>1</v>
      </c>
      <c r="H6" s="23">
        <v>5</v>
      </c>
      <c r="I6" s="23">
        <v>7</v>
      </c>
      <c r="J6" s="79">
        <v>5</v>
      </c>
      <c r="K6" s="83"/>
      <c r="M6" s="4">
        <v>3</v>
      </c>
      <c r="N6" t="s">
        <v>13</v>
      </c>
    </row>
    <row r="7" spans="1:16" ht="18" customHeight="1" x14ac:dyDescent="0.3">
      <c r="A7" s="107"/>
      <c r="B7" s="57">
        <v>4</v>
      </c>
      <c r="C7" s="91" t="s">
        <v>45</v>
      </c>
      <c r="D7" s="23">
        <v>2</v>
      </c>
      <c r="E7" s="23">
        <v>1</v>
      </c>
      <c r="F7" s="23">
        <v>0</v>
      </c>
      <c r="G7" s="23">
        <v>1</v>
      </c>
      <c r="H7" s="23">
        <v>3</v>
      </c>
      <c r="I7" s="23">
        <v>7</v>
      </c>
      <c r="J7" s="79">
        <v>5</v>
      </c>
      <c r="K7" s="83"/>
      <c r="M7" s="4">
        <v>4</v>
      </c>
      <c r="N7" t="s">
        <v>15</v>
      </c>
    </row>
    <row r="8" spans="1:16" ht="18" customHeight="1" x14ac:dyDescent="0.3">
      <c r="A8" s="107"/>
      <c r="B8" s="57">
        <v>5</v>
      </c>
      <c r="C8" s="91" t="s">
        <v>44</v>
      </c>
      <c r="D8" s="23">
        <v>4</v>
      </c>
      <c r="E8" s="23">
        <v>1</v>
      </c>
      <c r="F8" s="23">
        <v>3</v>
      </c>
      <c r="G8" s="23">
        <v>0</v>
      </c>
      <c r="H8" s="23">
        <v>2</v>
      </c>
      <c r="I8" s="23">
        <v>11</v>
      </c>
      <c r="J8" s="79">
        <v>17</v>
      </c>
      <c r="K8" s="83"/>
      <c r="M8" s="4">
        <v>5</v>
      </c>
      <c r="N8" t="s">
        <v>17</v>
      </c>
    </row>
    <row r="9" spans="1:16" ht="18" customHeight="1" thickBot="1" x14ac:dyDescent="0.35">
      <c r="A9" s="107"/>
      <c r="B9" s="57">
        <v>6</v>
      </c>
      <c r="C9" s="91" t="s">
        <v>48</v>
      </c>
      <c r="D9" s="23">
        <v>3</v>
      </c>
      <c r="E9" s="23">
        <v>0</v>
      </c>
      <c r="F9" s="23">
        <v>3</v>
      </c>
      <c r="G9" s="23">
        <v>0</v>
      </c>
      <c r="H9" s="23">
        <v>0</v>
      </c>
      <c r="I9" s="23">
        <v>3</v>
      </c>
      <c r="J9" s="79">
        <v>14</v>
      </c>
      <c r="K9" s="83"/>
      <c r="M9" t="s">
        <v>14</v>
      </c>
    </row>
    <row r="10" spans="1:16" ht="18" hidden="1" customHeight="1" thickBot="1" x14ac:dyDescent="0.35">
      <c r="A10" s="107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107"/>
      <c r="B11" s="57"/>
      <c r="C11" s="108"/>
      <c r="D11" s="109"/>
      <c r="E11" s="109"/>
      <c r="F11" s="109"/>
      <c r="G11" s="109"/>
      <c r="H11" s="109"/>
      <c r="I11" s="109"/>
      <c r="J11" s="110"/>
      <c r="K11" s="84"/>
    </row>
    <row r="12" spans="1:16" ht="16.8" thickTop="1" thickBot="1" x14ac:dyDescent="0.35">
      <c r="A12" s="107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104" t="s">
        <v>16</v>
      </c>
      <c r="N12" s="104"/>
      <c r="O12" s="104"/>
      <c r="P12" s="5">
        <v>10</v>
      </c>
    </row>
    <row r="13" spans="1:16" ht="15.6" x14ac:dyDescent="0.3">
      <c r="A13" s="1"/>
      <c r="B13" s="56"/>
      <c r="C13" s="114" t="s">
        <v>31</v>
      </c>
      <c r="D13" s="115"/>
      <c r="E13" s="115"/>
      <c r="F13" s="115"/>
      <c r="G13" s="115"/>
      <c r="H13" s="116" cm="1">
        <f t="array" aca="1" ref="H13" ca="1">LastModified()</f>
        <v>46321.403067129628</v>
      </c>
      <c r="I13" s="116"/>
      <c r="J13" s="117"/>
      <c r="K13" s="86"/>
      <c r="M13" s="32"/>
      <c r="N13" s="32"/>
      <c r="O13" s="32"/>
    </row>
    <row r="14" spans="1:16" ht="62.4" customHeight="1" thickBot="1" x14ac:dyDescent="0.35">
      <c r="B14" s="33"/>
      <c r="C14" s="111" t="s">
        <v>49</v>
      </c>
      <c r="D14" s="112"/>
      <c r="E14" s="112"/>
      <c r="F14" s="112"/>
      <c r="G14" s="112"/>
      <c r="H14" s="112"/>
      <c r="I14" s="112"/>
      <c r="J14" s="113"/>
      <c r="K14" s="87"/>
    </row>
    <row r="15" spans="1:16" x14ac:dyDescent="0.3">
      <c r="G15" s="105" t="s">
        <v>18</v>
      </c>
      <c r="H15" s="105"/>
      <c r="I15" s="7">
        <f>SUM(I4:I12)</f>
        <v>55</v>
      </c>
      <c r="J15" s="7">
        <f>SUM(J4:J12)</f>
        <v>55</v>
      </c>
      <c r="K15" s="7"/>
    </row>
  </sheetData>
  <sortState xmlns:xlrd2="http://schemas.microsoft.com/office/spreadsheetml/2017/richdata2" ref="C4:K9">
    <sortCondition descending="1" ref="K4:K9"/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12" sqref="A12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94" t="s">
        <v>26</v>
      </c>
      <c r="S1" s="95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96" t="s">
        <v>27</v>
      </c>
      <c r="S2" s="97"/>
      <c r="T2" s="69">
        <f>SUM(T3:T7)</f>
        <v>10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>
        <v>1</v>
      </c>
      <c r="E3" s="36" t="s">
        <v>42</v>
      </c>
      <c r="F3" s="59">
        <v>2</v>
      </c>
      <c r="G3" s="37" t="s">
        <v>50</v>
      </c>
      <c r="H3" s="38" t="s">
        <v>51</v>
      </c>
      <c r="I3" s="39">
        <v>5</v>
      </c>
      <c r="J3" s="39"/>
      <c r="M3" s="41" t="s">
        <v>41</v>
      </c>
      <c r="N3" s="42">
        <v>3</v>
      </c>
      <c r="P3" s="43">
        <f>D3-F3</f>
        <v>-1</v>
      </c>
      <c r="Q3" s="40">
        <f>ABS(P3)</f>
        <v>1</v>
      </c>
      <c r="R3" s="44">
        <v>1</v>
      </c>
      <c r="S3" s="40" t="s">
        <v>25</v>
      </c>
      <c r="T3" s="40">
        <f>COUNTIF($Q$3:$Q$32,R3)</f>
        <v>5</v>
      </c>
      <c r="U3" s="45">
        <f>IF($T$2&gt;0, T3/$T$2, 0)</f>
        <v>0.5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>
        <v>0</v>
      </c>
      <c r="E4" s="36" t="s">
        <v>44</v>
      </c>
      <c r="F4" s="59">
        <v>6</v>
      </c>
      <c r="G4" s="37"/>
      <c r="H4" s="38" t="s">
        <v>52</v>
      </c>
      <c r="I4" s="39">
        <v>6</v>
      </c>
      <c r="J4" s="39"/>
      <c r="M4" s="42" t="s">
        <v>32</v>
      </c>
      <c r="N4" s="42">
        <v>4</v>
      </c>
      <c r="P4" s="43">
        <f t="shared" ref="P4:P11" si="0">D4-F4</f>
        <v>-6</v>
      </c>
      <c r="Q4" s="40">
        <f t="shared" ref="Q4:Q11" si="1">ABS(P4)</f>
        <v>6</v>
      </c>
      <c r="R4" s="44">
        <v>2</v>
      </c>
      <c r="S4" s="40" t="s">
        <v>25</v>
      </c>
      <c r="T4" s="40">
        <f>COUNTIF($Q$3:$Q$32,R4)</f>
        <v>1</v>
      </c>
      <c r="U4" s="45">
        <f>IF($T$2&gt;0, T4/$T$2, 0)</f>
        <v>0.1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>
        <v>3</v>
      </c>
      <c r="E5" s="36" t="s">
        <v>45</v>
      </c>
      <c r="F5" s="59">
        <v>2</v>
      </c>
      <c r="G5" s="37" t="s">
        <v>53</v>
      </c>
      <c r="H5" s="38" t="s">
        <v>55</v>
      </c>
      <c r="I5" s="39">
        <v>3</v>
      </c>
      <c r="J5" s="39"/>
      <c r="M5" s="42" t="s">
        <v>42</v>
      </c>
      <c r="N5" s="42">
        <v>5</v>
      </c>
      <c r="P5" s="43">
        <f t="shared" si="0"/>
        <v>1</v>
      </c>
      <c r="Q5" s="40">
        <f t="shared" si="1"/>
        <v>1</v>
      </c>
      <c r="R5" s="44">
        <v>3</v>
      </c>
      <c r="S5" s="40" t="s">
        <v>25</v>
      </c>
      <c r="T5" s="40">
        <f>COUNTIF($Q$3:$Q$32,R5)</f>
        <v>1</v>
      </c>
      <c r="U5" s="45">
        <f>IF($T$2&gt;0, T5/$T$2, 0)</f>
        <v>0.1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>
        <v>6</v>
      </c>
      <c r="E6" s="36" t="s">
        <v>44</v>
      </c>
      <c r="F6" s="59">
        <v>1</v>
      </c>
      <c r="G6" s="37"/>
      <c r="H6" s="38" t="s">
        <v>56</v>
      </c>
      <c r="I6" s="39">
        <v>6</v>
      </c>
      <c r="J6" s="39"/>
      <c r="M6" s="42" t="s">
        <v>43</v>
      </c>
      <c r="N6" s="42">
        <v>6</v>
      </c>
      <c r="P6" s="43">
        <f t="shared" si="0"/>
        <v>5</v>
      </c>
      <c r="Q6" s="40">
        <f t="shared" si="1"/>
        <v>5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>
        <v>3</v>
      </c>
      <c r="E7" s="36" t="s">
        <v>42</v>
      </c>
      <c r="F7" s="59">
        <v>4</v>
      </c>
      <c r="G7" s="37"/>
      <c r="H7" s="38" t="s">
        <v>54</v>
      </c>
      <c r="I7" s="39">
        <v>5</v>
      </c>
      <c r="J7" s="39"/>
      <c r="M7" s="42"/>
      <c r="N7" s="42"/>
      <c r="P7" s="43">
        <f t="shared" si="0"/>
        <v>-1</v>
      </c>
      <c r="Q7" s="40">
        <f t="shared" si="1"/>
        <v>1</v>
      </c>
      <c r="R7" s="46" t="s">
        <v>24</v>
      </c>
      <c r="S7" s="47" t="s">
        <v>25</v>
      </c>
      <c r="T7" s="47">
        <f>COUNTIF($Q$3:$Q$32,"&gt;=5")</f>
        <v>3</v>
      </c>
      <c r="U7" s="48">
        <f>IF($T$2&gt;0, T7/$T$2, 0)</f>
        <v>0.3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>
        <v>1</v>
      </c>
      <c r="E8" s="36" t="s">
        <v>40</v>
      </c>
      <c r="F8" s="59">
        <v>3</v>
      </c>
      <c r="G8" s="37"/>
      <c r="H8" s="38" t="s">
        <v>57</v>
      </c>
      <c r="I8" s="39">
        <v>1</v>
      </c>
      <c r="J8" s="39"/>
      <c r="M8" s="42"/>
      <c r="N8" s="42"/>
      <c r="P8" s="43">
        <f t="shared" si="0"/>
        <v>-2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>
        <v>1</v>
      </c>
      <c r="E9" s="36" t="s">
        <v>42</v>
      </c>
      <c r="F9" s="59">
        <v>2</v>
      </c>
      <c r="G9" s="37" t="s">
        <v>53</v>
      </c>
      <c r="H9" s="38" t="s">
        <v>51</v>
      </c>
      <c r="I9" s="39">
        <v>5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>
        <v>2</v>
      </c>
      <c r="E10" s="36" t="s">
        <v>45</v>
      </c>
      <c r="F10" s="59">
        <v>5</v>
      </c>
      <c r="G10" s="37"/>
      <c r="H10" s="38" t="s">
        <v>59</v>
      </c>
      <c r="I10" s="39">
        <v>3</v>
      </c>
      <c r="J10" s="39"/>
      <c r="M10" s="42"/>
      <c r="N10" s="42"/>
      <c r="P10" s="43">
        <f t="shared" si="0"/>
        <v>-3</v>
      </c>
      <c r="Q10" s="49">
        <f t="shared" si="1"/>
        <v>3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>
        <v>7</v>
      </c>
      <c r="E11" s="36" t="s">
        <v>44</v>
      </c>
      <c r="F11" s="59">
        <v>1</v>
      </c>
      <c r="G11" s="37"/>
      <c r="H11" s="38" t="s">
        <v>58</v>
      </c>
      <c r="I11" s="39">
        <v>6</v>
      </c>
      <c r="J11" s="39"/>
      <c r="N11" s="42">
        <v>6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>
        <v>2</v>
      </c>
      <c r="E12" s="36" t="s">
        <v>40</v>
      </c>
      <c r="F12" s="59">
        <v>3</v>
      </c>
      <c r="G12" s="37"/>
      <c r="H12" s="38" t="s">
        <v>57</v>
      </c>
      <c r="I12" s="39">
        <v>1</v>
      </c>
      <c r="J12" s="39"/>
      <c r="P12" s="43">
        <f t="shared" ref="P12:P16" si="2">D12-F12</f>
        <v>-1</v>
      </c>
      <c r="Q12" s="49">
        <f t="shared" ref="Q12:Q16" si="3">ABS(P12)</f>
        <v>1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01"/>
      <c r="B33" s="101"/>
      <c r="C33" s="101"/>
      <c r="D33" s="101"/>
      <c r="E33" s="101"/>
      <c r="F33" s="101"/>
      <c r="G33" s="101"/>
      <c r="H33" s="38"/>
      <c r="I33" s="39"/>
      <c r="J33" s="39"/>
    </row>
    <row r="34" spans="1:10" s="40" customFormat="1" x14ac:dyDescent="0.3">
      <c r="A34" s="98" t="s">
        <v>39</v>
      </c>
      <c r="B34" s="99"/>
      <c r="C34" s="99"/>
      <c r="D34" s="99"/>
      <c r="E34" s="99"/>
      <c r="F34" s="99"/>
      <c r="G34" s="100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55</v>
      </c>
    </row>
    <row r="73" spans="1:10" x14ac:dyDescent="0.3">
      <c r="D73" s="58">
        <f>SUM(D3:D71)</f>
        <v>26</v>
      </c>
      <c r="F73" s="58">
        <f>SUM(F3:F71)</f>
        <v>29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2026-10-26T13:40:30Z</dcterms:modified>
</cp:coreProperties>
</file>