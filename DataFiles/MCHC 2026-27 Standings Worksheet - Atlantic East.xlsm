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66" documentId="8_{8268D4C1-7B53-46C4-9ED1-2963CB9CD6DC}" xr6:coauthVersionLast="47" xr6:coauthVersionMax="47" xr10:uidLastSave="{7B408604-93F2-4E68-86D4-3F2394D87503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<sst xmlns="http://schemas.openxmlformats.org/spreadsheetml/2006/main" count="154" uniqueCount="59">
  <si>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</si>
  <si>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</si>
  <si>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</si>
  <si>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</si>
  <si>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</si>
  <si>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</si>
  <si>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</si>
  <si>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</si>
  <si>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</si>
  <si>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</si>
  <si>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</si>
  <si>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</si>
  <si>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</si>
  <si>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</si>
  <si>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</si>
  <si>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</si>
  <si>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</si>
  <si>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</si>
  <si>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</si>
  <si>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</si>
  <si>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</si>
  <si>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</si>
  <si>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</si>
  <si>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</si>
  <si>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</si>
  <si>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</si>
  <si>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</si>
  <si>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</si>
  <si>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</si>
  <si>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</si>
  <si>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</si>
  <si>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</si>
  <si>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</si>
  <si>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</si>
  <si>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</si>
  <si>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</si>
  <si>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</si>
  <si>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</si>
  <si>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</si>
  <si>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</si>
  <si>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</si>
  <si>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</si>
  <si>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</si>
  <si>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</si>
  <si>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</si>
  <si>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</si>
  <si>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</si>
  <si>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</si>
  <si>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</si>
  <si>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</si>
  <si>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</si>
  <si>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</si>
  <si>
    <t>SJU (Home) Wins</t>
  </si>
  <si>
    <t>Maritime (Away) Wins</t>
  </si>
  <si>
    <t>Hofstra (Home) Wins</t>
  </si>
  <si>
    <t>*</t>
  </si>
  <si>
    <t>Hofstra in OT/SO</t>
  </si>
  <si>
    <t>Columbia (Away) Wins</t>
  </si>
  <si>
    <t>SJU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</si>
</sst>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93"/>
      <c r="B2" s="93"/>
      <c r="C2" s="93"/>
      <c r="D2" s="93"/>
      <c r="E2" s="93"/>
      <c r="F2" s="93"/>
      <c r="G2" s="93"/>
      <c r="H2" s="93"/>
      <c r="I2" s="93"/>
      <c r="J2" s="93"/>
      <c r="K2" s="75"/>
    </row>
    <row r="3" spans="1:16" ht="18" x14ac:dyDescent="0.3">
      <c r="A3" s="94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89" t="s">
        <v>10</v>
      </c>
      <c r="N3" s="90"/>
      <c r="O3" s="90"/>
      <c r="P3" s="90"/>
    </row>
    <row r="4" spans="1:16" ht="18" customHeight="1" x14ac:dyDescent="0.3">
      <c r="A4" s="94"/>
      <c r="B4" s="53">
        <v>1</v>
      </c>
      <c r="C4" s="87" t="s">
        <v>46</v>
      </c>
      <c r="D4" s="74">
        <v>6</v>
      </c>
      <c r="E4" s="74">
        <v>5</v>
      </c>
      <c r="F4" s="74">
        <v>1</v>
      </c>
      <c r="G4" s="74">
        <v>0</v>
      </c>
      <c r="H4" s="74">
        <v>10</v>
      </c>
      <c r="I4" s="74">
        <v>43</v>
      </c>
      <c r="J4" s="76">
        <v>28</v>
      </c>
      <c r="K4" s="80"/>
      <c r="M4" s="4">
        <v>1</v>
      </c>
      <c r="N4" t="s">
        <v>11</v>
      </c>
    </row>
    <row r="5" spans="1:16" ht="18" customHeight="1" x14ac:dyDescent="0.3">
      <c r="A5" s="94"/>
      <c r="B5" s="53">
        <v>2</v>
      </c>
      <c r="C5" s="88" t="s">
        <v>48</v>
      </c>
      <c r="D5" s="23">
        <v>2</v>
      </c>
      <c r="E5" s="23">
        <v>2</v>
      </c>
      <c r="F5" s="23">
        <v>0</v>
      </c>
      <c r="G5" s="23">
        <v>0</v>
      </c>
      <c r="H5" s="23">
        <v>4</v>
      </c>
      <c r="I5" s="23">
        <v>17</v>
      </c>
      <c r="J5" s="77">
        <v>3</v>
      </c>
      <c r="K5" s="80"/>
      <c r="M5" s="4">
        <v>2</v>
      </c>
      <c r="N5" t="s">
        <v>12</v>
      </c>
    </row>
    <row r="6" spans="1:16" ht="18" customHeight="1" x14ac:dyDescent="0.3">
      <c r="A6" s="94"/>
      <c r="B6" s="53">
        <v>3</v>
      </c>
      <c r="C6" s="88" t="s">
        <v>47</v>
      </c>
      <c r="D6" s="23">
        <v>4</v>
      </c>
      <c r="E6" s="23">
        <v>2</v>
      </c>
      <c r="F6" s="23">
        <v>1</v>
      </c>
      <c r="G6" s="23">
        <v>1</v>
      </c>
      <c r="H6" s="23">
        <v>5</v>
      </c>
      <c r="I6" s="23">
        <v>22</v>
      </c>
      <c r="J6" s="77">
        <v>17</v>
      </c>
      <c r="K6" s="80"/>
      <c r="M6" s="4">
        <v>3</v>
      </c>
      <c r="N6" t="s">
        <v>13</v>
      </c>
    </row>
    <row r="7" spans="1:16" ht="18" customHeight="1" x14ac:dyDescent="0.3">
      <c r="A7" s="94"/>
      <c r="B7" s="53">
        <v>4</v>
      </c>
      <c r="C7" s="88" t="s">
        <v>35</v>
      </c>
      <c r="D7" s="23">
        <v>6</v>
      </c>
      <c r="E7" s="23">
        <v>2</v>
      </c>
      <c r="F7" s="23">
        <v>4</v>
      </c>
      <c r="G7" s="23">
        <v>0</v>
      </c>
      <c r="H7" s="23">
        <v>4</v>
      </c>
      <c r="I7" s="23">
        <v>20</v>
      </c>
      <c r="J7" s="77">
        <v>35</v>
      </c>
      <c r="K7" s="80"/>
      <c r="M7" s="4">
        <v>4</v>
      </c>
      <c r="N7" t="s">
        <v>15</v>
      </c>
    </row>
    <row r="8" spans="1:16" ht="18" customHeight="1" x14ac:dyDescent="0.3">
      <c r="A8" s="94"/>
      <c r="B8" s="53">
        <v>5</v>
      </c>
      <c r="C8" s="88" t="s">
        <v>43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94"/>
      <c r="B9" s="53">
        <v>6</v>
      </c>
      <c r="C9" s="88" t="s">
        <v>49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5">
      <c r="A10" s="94"/>
      <c r="B10" s="53">
        <v>7</v>
      </c>
      <c r="C10" s="88" t="s">
        <v>33</v>
      </c>
      <c r="D10" s="23">
        <v>4</v>
      </c>
      <c r="E10" s="23">
        <v>0</v>
      </c>
      <c r="F10" s="23">
        <v>4</v>
      </c>
      <c r="G10" s="23">
        <v>0</v>
      </c>
      <c r="H10" s="23">
        <v>0</v>
      </c>
      <c r="I10" s="23">
        <v>15</v>
      </c>
      <c r="J10" s="77">
        <v>34</v>
      </c>
      <c r="K10" s="80"/>
      <c r="M10" t="s">
        <v>14</v>
      </c>
    </row>
    <row r="11" spans="1:16" ht="18" hidden="1" customHeight="1" thickBot="1" x14ac:dyDescent="0.35">
      <c r="A11" s="94"/>
      <c r="B11" s="53"/>
      <c r="C11" s="95"/>
      <c r="D11" s="96"/>
      <c r="E11" s="96"/>
      <c r="F11" s="96"/>
      <c r="G11" s="96"/>
      <c r="H11" s="96"/>
      <c r="I11" s="96"/>
      <c r="J11" s="97"/>
      <c r="K11" s="81"/>
    </row>
    <row r="12" spans="1:16" ht="16.8" thickTop="1" thickBot="1" x14ac:dyDescent="0.35">
      <c r="A12" s="94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1" t="s">
        <v>16</v>
      </c>
      <c r="N12" s="91"/>
      <c r="O12" s="91"/>
      <c r="P12" s="5">
        <v>12</v>
      </c>
    </row>
    <row r="13" spans="1:16" ht="15.6" x14ac:dyDescent="0.3">
      <c r="A13" s="1"/>
      <c r="B13" s="52"/>
      <c r="C13" s="101" t="s">
        <v>31</v>
      </c>
      <c r="D13" s="102"/>
      <c r="E13" s="102"/>
      <c r="F13" s="102"/>
      <c r="G13" s="102"/>
      <c r="H13" s="103" cm="1">
        <f t="array" aca="1" ref="H13" ca="1">LastModified()</f>
        <v>46325.45071759259</v>
      </c>
      <c r="I13" s="103"/>
      <c r="J13" s="104"/>
      <c r="K13" s="83"/>
      <c r="M13" s="28"/>
      <c r="N13" s="28"/>
      <c r="O13" s="28"/>
    </row>
    <row r="14" spans="1:16" ht="66.599999999999994" customHeight="1" thickBot="1" x14ac:dyDescent="0.35">
      <c r="B14" s="29"/>
      <c r="C14" s="98" t="s">
        <v>50</v>
      </c>
      <c r="D14" s="99"/>
      <c r="E14" s="99"/>
      <c r="F14" s="99"/>
      <c r="G14" s="99"/>
      <c r="H14" s="99"/>
      <c r="I14" s="99"/>
      <c r="J14" s="100"/>
      <c r="K14" s="84"/>
    </row>
    <row r="15" spans="1:16" x14ac:dyDescent="0.3">
      <c r="G15" s="92" t="s">
        <v>18</v>
      </c>
      <c r="H15" s="92"/>
      <c r="I15" s="7">
        <f>SUM(I4:I12)</f>
        <v>117</v>
      </c>
      <c r="J15" s="7">
        <f>SUM(J4:J12)</f>
        <v>117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tabSelected="1" topLeftCell="A13" zoomScaleNormal="100" workbookViewId="0">
      <selection activeCell="H36" sqref="H3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105" t="s">
        <v>26</v>
      </c>
      <c r="S1" s="106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107" t="s">
        <v>27</v>
      </c>
      <c r="S2" s="108"/>
      <c r="T2" s="65">
        <f>SUM(T3:T7)</f>
        <v>11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4</v>
      </c>
      <c r="U3" s="41">
        <f>IF($T$2&gt;0, T3/$T$2, 0)</f>
        <v>0.36363636363636365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>
        <v>4</v>
      </c>
      <c r="E5" s="32" t="s">
        <v>35</v>
      </c>
      <c r="F5" s="55">
        <v>5</v>
      </c>
      <c r="G5" s="33"/>
      <c r="H5" s="34" t="s">
        <v>52</v>
      </c>
      <c r="I5" s="35">
        <v>5</v>
      </c>
      <c r="J5" s="35"/>
      <c r="M5" s="38" t="s">
        <v>35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0.18181818181818182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>
        <v>3</v>
      </c>
      <c r="E6" s="32" t="s">
        <v>35</v>
      </c>
      <c r="F6" s="55">
        <v>2</v>
      </c>
      <c r="G6" s="33"/>
      <c r="H6" s="34" t="s">
        <v>53</v>
      </c>
      <c r="I6" s="35">
        <v>5</v>
      </c>
      <c r="J6" s="35"/>
      <c r="M6" s="38" t="s">
        <v>43</v>
      </c>
      <c r="N6" s="38">
        <v>6</v>
      </c>
      <c r="P6" s="39">
        <f t="shared" si="0"/>
        <v>1</v>
      </c>
      <c r="Q6" s="36">
        <f t="shared" si="1"/>
        <v>1</v>
      </c>
      <c r="R6" s="40">
        <v>4</v>
      </c>
      <c r="S6" s="36" t="s">
        <v>25</v>
      </c>
      <c r="T6" s="36">
        <f>COUNTIF($Q$3:$Q$32,R6)</f>
        <v>1</v>
      </c>
      <c r="U6" s="41">
        <f>IF($T$2&gt;0, T6/$T$2, 0)</f>
        <v>9.0909090909090912E-2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>
        <v>4</v>
      </c>
      <c r="E7" s="32" t="s">
        <v>46</v>
      </c>
      <c r="F7" s="55">
        <v>8</v>
      </c>
      <c r="G7" s="33"/>
      <c r="H7" s="34" t="s">
        <v>54</v>
      </c>
      <c r="I7" s="35">
        <v>2</v>
      </c>
      <c r="J7" s="35"/>
      <c r="M7" s="38" t="s">
        <v>44</v>
      </c>
      <c r="N7" s="38">
        <v>7</v>
      </c>
      <c r="P7" s="39">
        <f t="shared" si="0"/>
        <v>-4</v>
      </c>
      <c r="Q7" s="36">
        <f t="shared" si="1"/>
        <v>4</v>
      </c>
      <c r="R7" s="42" t="s">
        <v>24</v>
      </c>
      <c r="S7" s="43" t="s">
        <v>25</v>
      </c>
      <c r="T7" s="43">
        <f>COUNTIF($Q$3:$Q$32,"&gt;=5")</f>
        <v>4</v>
      </c>
      <c r="U7" s="44">
        <f>IF($T$2&gt;0, T7/$T$2, 0)</f>
        <v>0.36363636363636365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>
        <v>9</v>
      </c>
      <c r="E8" s="32" t="s">
        <v>33</v>
      </c>
      <c r="F8" s="55">
        <v>3</v>
      </c>
      <c r="G8" s="33"/>
      <c r="H8" s="34" t="s">
        <v>53</v>
      </c>
      <c r="I8" s="35">
        <v>4</v>
      </c>
      <c r="J8" s="35"/>
      <c r="M8" s="38"/>
      <c r="N8" s="38"/>
      <c r="P8" s="39">
        <f t="shared" si="0"/>
        <v>6</v>
      </c>
      <c r="Q8" s="45">
        <f t="shared" si="1"/>
        <v>6</v>
      </c>
      <c r="U8" s="46">
        <f>SUM(U3:U7)</f>
        <v>1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>
        <v>7</v>
      </c>
      <c r="E9" s="32" t="s">
        <v>47</v>
      </c>
      <c r="F9" s="55">
        <v>6</v>
      </c>
      <c r="G9" s="33" t="s">
        <v>55</v>
      </c>
      <c r="H9" s="34" t="s">
        <v>56</v>
      </c>
      <c r="I9" s="35">
        <v>3</v>
      </c>
      <c r="J9" s="35"/>
      <c r="M9" s="38"/>
      <c r="N9" s="38"/>
      <c r="P9" s="39">
        <f t="shared" si="0"/>
        <v>1</v>
      </c>
      <c r="Q9" s="45">
        <f t="shared" si="1"/>
        <v>1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>
        <v>1</v>
      </c>
      <c r="E10" s="32" t="s">
        <v>46</v>
      </c>
      <c r="F10" s="55">
        <v>10</v>
      </c>
      <c r="G10" s="33"/>
      <c r="H10" s="34" t="s">
        <v>54</v>
      </c>
      <c r="I10" s="35">
        <v>2</v>
      </c>
      <c r="J10" s="35"/>
      <c r="M10" s="38"/>
      <c r="N10" s="38"/>
      <c r="P10" s="39">
        <f t="shared" si="0"/>
        <v>-9</v>
      </c>
      <c r="Q10" s="45">
        <f t="shared" si="1"/>
        <v>9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>
        <v>7</v>
      </c>
      <c r="E11" s="32" t="s">
        <v>46</v>
      </c>
      <c r="F11" s="55">
        <v>2</v>
      </c>
      <c r="G11" s="33"/>
      <c r="H11" s="34" t="s">
        <v>57</v>
      </c>
      <c r="I11" s="35">
        <v>2</v>
      </c>
      <c r="J11" s="35"/>
      <c r="N11" s="38">
        <v>6</v>
      </c>
      <c r="P11" s="39">
        <f t="shared" si="0"/>
        <v>5</v>
      </c>
      <c r="Q11" s="45">
        <f t="shared" si="1"/>
        <v>5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>
        <v>10</v>
      </c>
      <c r="E13" s="32" t="s">
        <v>35</v>
      </c>
      <c r="F13" s="55">
        <v>1</v>
      </c>
      <c r="G13" s="33"/>
      <c r="H13" s="34" t="s">
        <v>57</v>
      </c>
      <c r="I13" s="35">
        <v>5</v>
      </c>
      <c r="J13" s="35"/>
      <c r="P13" s="39">
        <f t="shared" si="2"/>
        <v>9</v>
      </c>
      <c r="Q13" s="45">
        <f t="shared" si="3"/>
        <v>9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>
        <v>5</v>
      </c>
      <c r="E14" s="32" t="s">
        <v>47</v>
      </c>
      <c r="F14" s="55">
        <v>4</v>
      </c>
      <c r="G14" s="33"/>
      <c r="H14" s="34" t="s">
        <v>58</v>
      </c>
      <c r="I14" s="35">
        <v>3</v>
      </c>
      <c r="J14" s="35"/>
      <c r="P14" s="39">
        <f t="shared" si="2"/>
        <v>1</v>
      </c>
      <c r="Q14" s="45">
        <f t="shared" si="3"/>
        <v>1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35</v>
      </c>
      <c r="B36" s="31">
        <v>46417</v>
      </c>
      <c r="C36" s="32" t="s">
        <v>35</v>
      </c>
      <c r="D36" s="55"/>
      <c r="E36" s="32" t="s">
        <v>43</v>
      </c>
      <c r="F36" s="55"/>
      <c r="G36" s="33"/>
      <c r="H36" s="34"/>
      <c r="I36" s="35"/>
      <c r="J36" s="35"/>
    </row>
    <row r="37" spans="1:10" s="36" customFormat="1" x14ac:dyDescent="0.3">
      <c r="A37" s="30">
        <v>34</v>
      </c>
      <c r="B37" s="31">
        <v>46418</v>
      </c>
      <c r="C37" s="32" t="s">
        <v>43</v>
      </c>
      <c r="D37" s="55"/>
      <c r="E37" s="32" t="s">
        <v>46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109" t="s">
        <v>41</v>
      </c>
      <c r="B46" s="110"/>
      <c r="C46" s="110"/>
      <c r="D46" s="110"/>
      <c r="E46" s="110"/>
      <c r="F46" s="110"/>
      <c r="G46" s="111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112"/>
      <c r="B52" s="112"/>
      <c r="C52" s="112"/>
      <c r="D52" s="112"/>
      <c r="E52" s="112"/>
      <c r="F52" s="112"/>
      <c r="G52" s="112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117</v>
      </c>
    </row>
    <row r="75" spans="1:10" x14ac:dyDescent="0.3">
      <c r="D75" s="54">
        <f>SUM(D3:D73)</f>
        <v>66</v>
      </c>
      <c r="F75" s="54">
        <f>SUM(F3:F73)</f>
        <v>51</v>
      </c>
    </row>
  </sheetData>
  <sortState xmlns:xlrd2="http://schemas.microsoft.com/office/spreadsheetml/2017/richdata2" ref="A36:U37">
    <sortCondition ref="B36:B37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2026-10-30T14:51:55Z</dcterms:modified>
</cp:coreProperties>
</file>