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849" documentId="13_ncr:1_{6D847147-14CC-4E2E-9F58-D0DC2A8D343C}" xr6:coauthVersionLast="47" xr6:coauthVersionMax="47" xr10:uidLastSave="{50E896AE-3509-4D90-BAE5-A7CF676CCA3C}"/>
  <bookViews>
    <workbookView xWindow="360" yWindow="690" windowWidth="14490" windowHeight="1809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<sst xmlns="http://schemas.openxmlformats.org/spreadsheetml/2006/main" count="142" uniqueCount="51">
  <si>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</si>
  <si>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</si>
  <si>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</si>
  <si>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</si>
  <si>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</si>
  <si>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</si>
  <si>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</si>
  <si>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</si>
  <si>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</si>
  <si>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</si>
  <si>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</si>
  <si>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</si>
  <si>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</si>
  <si>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</si>
  <si>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</si>
  <si>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</si>
  <si>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</si>
  <si>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</si>
  <si>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</si>
  <si>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</si>
  <si>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</si>
  <si>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</si>
  <si>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</si>
  <si>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</si>
  <si>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</si>
  <si>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</si>
  <si>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</si>
  <si>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</si>
  <si>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</si>
  <si>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</si>
  <si>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</si>
  <si>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</si>
  <si>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</si>
  <si>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</si>
  <si>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</si>
  <si>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</si>
  <si>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</si>
  <si>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</si>
  <si>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</si>
  <si>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</si>
  <si>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</si>
  <si>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</si>
  <si>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</si>
  <si>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</si>
  <si>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</si>
  <si>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Top 3 Teams Qualify for Playoffs;
1st Place Team Qualifies for Metropolitan Division Playoffs</t>
  </si>
  <si>
    <t>COLUMBIA</t>
  </si>
  <si>
    <t>Hofstra</t>
  </si>
  <si>
    <t>Maritime</t>
  </si>
  <si>
    <t>Columbia</t>
  </si>
  <si>
    <t>WestConn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</si>
</sst>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J22" sqref="J22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1" style="1" customWidth="1"/>
    <col min="4" max="4" width="3.140625" style="1" customWidth="1"/>
    <col min="5" max="5" width="3.140625" customWidth="1"/>
    <col min="6" max="6" width="2.7109375" customWidth="1"/>
    <col min="7" max="7" width="3.140625" bestFit="1" customWidth="1"/>
    <col min="8" max="8" width="3.42578125" bestFit="1" customWidth="1"/>
    <col min="9" max="10" width="4" bestFit="1" customWidth="1"/>
    <col min="11" max="11" width="4" customWidth="1"/>
    <col min="12" max="12" width="4" bestFit="1" customWidth="1"/>
  </cols>
  <sheetData>
    <row r="1" spans="1:16" x14ac:dyDescent="0.25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/>
      <c r="L1">
        <f>SUM(C1:J1)</f>
        <v>242</v>
      </c>
      <c r="M1" t="s">
        <v>34</v>
      </c>
    </row>
    <row r="2" spans="1:16" s="2" customFormat="1" ht="12" customHeight="1" thickBot="1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80"/>
    </row>
    <row r="3" spans="1:16" ht="18.75" x14ac:dyDescent="0.25">
      <c r="A3" s="103"/>
      <c r="B3" s="59"/>
      <c r="C3" s="75" t="s">
        <v>2</v>
      </c>
      <c r="D3" s="76" t="s">
        <v>21</v>
      </c>
      <c r="E3" s="76" t="s">
        <v>19</v>
      </c>
      <c r="F3" s="76" t="s">
        <v>20</v>
      </c>
      <c r="G3" s="76" t="s">
        <v>29</v>
      </c>
      <c r="H3" s="76" t="s">
        <v>30</v>
      </c>
      <c r="I3" s="76" t="s">
        <v>3</v>
      </c>
      <c r="J3" s="77" t="s">
        <v>4</v>
      </c>
      <c r="K3" s="84"/>
      <c r="M3" s="98" t="s">
        <v>10</v>
      </c>
      <c r="N3" s="99"/>
      <c r="O3" s="99"/>
      <c r="P3" s="99"/>
    </row>
    <row r="4" spans="1:16" ht="18" customHeight="1" x14ac:dyDescent="0.25">
      <c r="A4" s="103"/>
      <c r="B4" s="53">
        <v>1</v>
      </c>
      <c r="C4" s="78" t="s">
        <v>49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81">
        <v>0</v>
      </c>
      <c r="K4" s="85"/>
      <c r="M4" s="4">
        <v>1</v>
      </c>
      <c r="N4" t="s">
        <v>11</v>
      </c>
    </row>
    <row r="5" spans="1:16" ht="18" customHeight="1" x14ac:dyDescent="0.25">
      <c r="A5" s="103"/>
      <c r="B5" s="53">
        <v>2</v>
      </c>
      <c r="C5" s="79" t="s">
        <v>47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82">
        <v>0</v>
      </c>
      <c r="K5" s="85"/>
      <c r="M5" s="4">
        <v>2</v>
      </c>
      <c r="N5" t="s">
        <v>12</v>
      </c>
    </row>
    <row r="6" spans="1:16" ht="18" customHeight="1" x14ac:dyDescent="0.25">
      <c r="A6" s="103"/>
      <c r="B6" s="53">
        <v>3</v>
      </c>
      <c r="C6" s="79" t="s">
        <v>48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82">
        <v>0</v>
      </c>
      <c r="K6" s="85"/>
      <c r="M6" s="4">
        <v>3</v>
      </c>
      <c r="N6" t="s">
        <v>13</v>
      </c>
    </row>
    <row r="7" spans="1:16" ht="18" customHeight="1" x14ac:dyDescent="0.25">
      <c r="A7" s="103"/>
      <c r="B7" s="53">
        <v>4</v>
      </c>
      <c r="C7" s="79" t="s">
        <v>33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82">
        <v>0</v>
      </c>
      <c r="K7" s="85"/>
      <c r="M7" s="4">
        <v>4</v>
      </c>
      <c r="N7" t="s">
        <v>15</v>
      </c>
    </row>
    <row r="8" spans="1:16" ht="18" customHeight="1" x14ac:dyDescent="0.25">
      <c r="A8" s="103"/>
      <c r="B8" s="53">
        <v>5</v>
      </c>
      <c r="C8" s="79" t="s">
        <v>35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82">
        <v>0</v>
      </c>
      <c r="K8" s="85"/>
      <c r="M8" s="4">
        <v>5</v>
      </c>
      <c r="N8" t="s">
        <v>17</v>
      </c>
    </row>
    <row r="9" spans="1:16" ht="18" customHeight="1" x14ac:dyDescent="0.25">
      <c r="A9" s="103"/>
      <c r="B9" s="53">
        <v>6</v>
      </c>
      <c r="C9" s="79" t="s">
        <v>43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82">
        <v>0</v>
      </c>
      <c r="K9" s="85"/>
    </row>
    <row r="10" spans="1:16" ht="18" customHeight="1" thickBot="1" x14ac:dyDescent="0.3">
      <c r="A10" s="103"/>
      <c r="B10" s="53">
        <v>7</v>
      </c>
      <c r="C10" s="79" t="s">
        <v>50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82">
        <v>0</v>
      </c>
      <c r="K10" s="85"/>
      <c r="M10" t="s">
        <v>14</v>
      </c>
    </row>
    <row r="11" spans="1:16" ht="18" hidden="1" customHeight="1" thickBot="1" x14ac:dyDescent="0.3">
      <c r="A11" s="103"/>
      <c r="B11" s="53"/>
      <c r="C11" s="104"/>
      <c r="D11" s="105"/>
      <c r="E11" s="105"/>
      <c r="F11" s="105"/>
      <c r="G11" s="105"/>
      <c r="H11" s="105"/>
      <c r="I11" s="105"/>
      <c r="J11" s="106"/>
      <c r="K11" s="86"/>
    </row>
    <row r="12" spans="1:16" ht="17.25" thickTop="1" thickBot="1" x14ac:dyDescent="0.3">
      <c r="A12" s="103"/>
      <c r="B12" s="53"/>
      <c r="C12" s="72"/>
      <c r="D12" s="73"/>
      <c r="E12" s="73"/>
      <c r="F12" s="73"/>
      <c r="G12" s="73"/>
      <c r="H12" s="73"/>
      <c r="I12" s="73"/>
      <c r="J12" s="83"/>
      <c r="K12" s="87"/>
      <c r="M12" s="100" t="s">
        <v>16</v>
      </c>
      <c r="N12" s="100"/>
      <c r="O12" s="100"/>
      <c r="P12" s="5"/>
    </row>
    <row r="13" spans="1:16" ht="15.75" x14ac:dyDescent="0.25">
      <c r="A13" s="1"/>
      <c r="B13" s="52"/>
      <c r="C13" s="110" t="s">
        <v>31</v>
      </c>
      <c r="D13" s="111"/>
      <c r="E13" s="111"/>
      <c r="F13" s="111"/>
      <c r="G13" s="111"/>
      <c r="H13" s="112" cm="1">
        <f t="array" aca="1" ref="H13" ca="1">LastModified()</f>
        <v>46279.735590277778</v>
      </c>
      <c r="I13" s="112"/>
      <c r="J13" s="113"/>
      <c r="K13" s="88"/>
      <c r="M13" s="28"/>
      <c r="N13" s="28"/>
      <c r="O13" s="28"/>
    </row>
    <row r="14" spans="1:16" ht="52.9" customHeight="1" thickBot="1" x14ac:dyDescent="0.3">
      <c r="B14" s="29"/>
      <c r="C14" s="107" t="s">
        <v>45</v>
      </c>
      <c r="D14" s="108"/>
      <c r="E14" s="108"/>
      <c r="F14" s="108"/>
      <c r="G14" s="108"/>
      <c r="H14" s="108"/>
      <c r="I14" s="108"/>
      <c r="J14" s="109"/>
      <c r="K14" s="89"/>
    </row>
    <row r="15" spans="1:16" x14ac:dyDescent="0.25">
      <c r="G15" s="101" t="s">
        <v>18</v>
      </c>
      <c r="H15" s="101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topLeftCell="A23" zoomScaleNormal="100" workbookViewId="0">
      <selection activeCell="A46" sqref="A46:G46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4" bestFit="1" customWidth="1"/>
    <col min="5" max="5" width="10.85546875" style="19" bestFit="1" customWidth="1"/>
    <col min="6" max="6" width="3.28515625" style="54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46</v>
      </c>
      <c r="N1" s="6">
        <v>1</v>
      </c>
      <c r="O1" s="22" t="s">
        <v>28</v>
      </c>
      <c r="R1" s="90" t="s">
        <v>26</v>
      </c>
      <c r="S1" s="91"/>
      <c r="T1" s="64">
        <f>MAX(A:A)</f>
        <v>42</v>
      </c>
      <c r="U1" s="63"/>
    </row>
    <row r="2" spans="1:21" ht="16.5" thickTop="1" thickBot="1" x14ac:dyDescent="0.3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92" t="s">
        <v>27</v>
      </c>
      <c r="S2" s="93"/>
      <c r="T2" s="65">
        <f>SUM(T3:T7)</f>
        <v>0</v>
      </c>
      <c r="U2" s="66"/>
    </row>
    <row r="3" spans="1:21" s="36" customFormat="1" ht="16.5" thickTop="1" thickBot="1" x14ac:dyDescent="0.3">
      <c r="A3" s="30">
        <v>1</v>
      </c>
      <c r="B3" s="31">
        <v>46283</v>
      </c>
      <c r="C3" s="32" t="s">
        <v>47</v>
      </c>
      <c r="D3" s="55"/>
      <c r="E3" s="32" t="s">
        <v>35</v>
      </c>
      <c r="F3" s="55"/>
      <c r="G3" s="33"/>
      <c r="H3" s="34"/>
      <c r="I3" s="35"/>
      <c r="J3" s="35"/>
      <c r="M3" s="6" t="s">
        <v>42</v>
      </c>
      <c r="N3" s="38">
        <v>3</v>
      </c>
      <c r="P3" s="39">
        <f>D3-F3</f>
        <v>0</v>
      </c>
      <c r="Q3" s="36">
        <f>ABS(P3)</f>
        <v>0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6.5" thickTop="1" thickBot="1" x14ac:dyDescent="0.3">
      <c r="A4" s="30">
        <v>2</v>
      </c>
      <c r="B4" s="31">
        <v>46285</v>
      </c>
      <c r="C4" s="32" t="s">
        <v>47</v>
      </c>
      <c r="D4" s="55"/>
      <c r="E4" s="32" t="s">
        <v>33</v>
      </c>
      <c r="F4" s="55"/>
      <c r="G4" s="33"/>
      <c r="H4" s="34"/>
      <c r="I4" s="35"/>
      <c r="J4" s="35"/>
      <c r="M4" s="37" t="s">
        <v>33</v>
      </c>
      <c r="N4" s="38">
        <v>4</v>
      </c>
      <c r="P4" s="39">
        <f t="shared" ref="P4:P11" si="0">D4-F4</f>
        <v>0</v>
      </c>
      <c r="Q4" s="36">
        <f t="shared" ref="Q4:Q11" si="1">ABS(P4)</f>
        <v>0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6.5" thickTop="1" thickBot="1" x14ac:dyDescent="0.3">
      <c r="A5" s="30">
        <v>3</v>
      </c>
      <c r="B5" s="31">
        <v>46290</v>
      </c>
      <c r="C5" s="32" t="s">
        <v>33</v>
      </c>
      <c r="D5" s="55"/>
      <c r="E5" s="32" t="s">
        <v>35</v>
      </c>
      <c r="F5" s="55"/>
      <c r="G5" s="33"/>
      <c r="H5" s="34"/>
      <c r="I5" s="35"/>
      <c r="J5" s="35"/>
      <c r="M5" s="38" t="s">
        <v>35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6.5" thickTop="1" thickBot="1" x14ac:dyDescent="0.3">
      <c r="A6" s="30">
        <v>4</v>
      </c>
      <c r="B6" s="31">
        <v>46297</v>
      </c>
      <c r="C6" s="32" t="s">
        <v>48</v>
      </c>
      <c r="D6" s="55"/>
      <c r="E6" s="32" t="s">
        <v>35</v>
      </c>
      <c r="F6" s="55"/>
      <c r="G6" s="33"/>
      <c r="H6" s="34"/>
      <c r="I6" s="35"/>
      <c r="J6" s="35"/>
      <c r="M6" s="38" t="s">
        <v>43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6.5" thickTop="1" thickBot="1" x14ac:dyDescent="0.3">
      <c r="A7" s="30">
        <v>5</v>
      </c>
      <c r="B7" s="31">
        <v>46299</v>
      </c>
      <c r="C7" s="32" t="s">
        <v>35</v>
      </c>
      <c r="D7" s="55"/>
      <c r="E7" s="32" t="s">
        <v>47</v>
      </c>
      <c r="F7" s="55"/>
      <c r="G7" s="33"/>
      <c r="H7" s="34"/>
      <c r="I7" s="35"/>
      <c r="J7" s="35"/>
      <c r="M7" s="38" t="s">
        <v>44</v>
      </c>
      <c r="N7" s="38">
        <v>7</v>
      </c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6.5" thickTop="1" thickBot="1" x14ac:dyDescent="0.3">
      <c r="A8" s="30">
        <v>6</v>
      </c>
      <c r="B8" s="31">
        <v>46299</v>
      </c>
      <c r="C8" s="32" t="s">
        <v>48</v>
      </c>
      <c r="D8" s="55"/>
      <c r="E8" s="32" t="s">
        <v>33</v>
      </c>
      <c r="F8" s="55"/>
      <c r="G8" s="33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0</v>
      </c>
    </row>
    <row r="9" spans="1:21" s="36" customFormat="1" ht="16.5" thickTop="1" thickBot="1" x14ac:dyDescent="0.3">
      <c r="A9" s="30">
        <v>7</v>
      </c>
      <c r="B9" s="31">
        <v>46305</v>
      </c>
      <c r="C9" s="32" t="s">
        <v>47</v>
      </c>
      <c r="D9" s="55"/>
      <c r="E9" s="32" t="s">
        <v>48</v>
      </c>
      <c r="F9" s="55"/>
      <c r="G9" s="33"/>
      <c r="H9" s="34"/>
      <c r="I9" s="35"/>
      <c r="J9" s="35"/>
      <c r="M9" s="38"/>
      <c r="N9" s="38"/>
      <c r="P9" s="39">
        <f t="shared" si="0"/>
        <v>0</v>
      </c>
      <c r="Q9" s="45">
        <f t="shared" si="1"/>
        <v>0</v>
      </c>
      <c r="U9" s="46"/>
    </row>
    <row r="10" spans="1:21" s="36" customFormat="1" ht="16.5" thickTop="1" thickBot="1" x14ac:dyDescent="0.3">
      <c r="A10" s="30">
        <v>8</v>
      </c>
      <c r="B10" s="31">
        <v>46306</v>
      </c>
      <c r="C10" s="32" t="s">
        <v>33</v>
      </c>
      <c r="D10" s="55"/>
      <c r="E10" s="32" t="s">
        <v>47</v>
      </c>
      <c r="F10" s="55"/>
      <c r="G10" s="33"/>
      <c r="H10" s="34"/>
      <c r="I10" s="35"/>
      <c r="J10" s="35"/>
      <c r="M10" s="38"/>
      <c r="N10" s="38"/>
      <c r="P10" s="39">
        <f t="shared" si="0"/>
        <v>0</v>
      </c>
      <c r="Q10" s="45">
        <f t="shared" si="1"/>
        <v>0</v>
      </c>
      <c r="U10" s="46"/>
    </row>
    <row r="11" spans="1:21" s="36" customFormat="1" ht="16.5" thickTop="1" thickBot="1" x14ac:dyDescent="0.3">
      <c r="A11" s="30">
        <v>9</v>
      </c>
      <c r="B11" s="31">
        <v>46311</v>
      </c>
      <c r="C11" s="32" t="s">
        <v>49</v>
      </c>
      <c r="D11" s="55"/>
      <c r="E11" s="32" t="s">
        <v>47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.75" thickTop="1" x14ac:dyDescent="0.25">
      <c r="A12" s="30">
        <v>10</v>
      </c>
      <c r="B12" s="31">
        <v>46312</v>
      </c>
      <c r="C12" s="32" t="s">
        <v>50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25">
      <c r="A13" s="30">
        <v>11</v>
      </c>
      <c r="B13" s="31">
        <v>46318</v>
      </c>
      <c r="C13" s="32" t="s">
        <v>49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25">
      <c r="A14" s="30">
        <v>12</v>
      </c>
      <c r="B14" s="31">
        <v>46319</v>
      </c>
      <c r="C14" s="32" t="s">
        <v>35</v>
      </c>
      <c r="D14" s="55"/>
      <c r="E14" s="32" t="s">
        <v>48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25">
      <c r="A15" s="30">
        <v>13</v>
      </c>
      <c r="B15" s="31">
        <v>46320</v>
      </c>
      <c r="C15" s="32" t="s">
        <v>50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25">
      <c r="A16" s="30">
        <v>14</v>
      </c>
      <c r="B16" s="31">
        <v>46333</v>
      </c>
      <c r="C16" s="32" t="s">
        <v>50</v>
      </c>
      <c r="D16" s="55"/>
      <c r="E16" s="32" t="s">
        <v>47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25">
      <c r="A17" s="30">
        <v>15</v>
      </c>
      <c r="B17" s="31">
        <v>46334</v>
      </c>
      <c r="C17" s="32" t="s">
        <v>33</v>
      </c>
      <c r="D17" s="55"/>
      <c r="E17" s="32" t="s">
        <v>50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25">
      <c r="A18" s="30">
        <v>16</v>
      </c>
      <c r="B18" s="31">
        <v>46339</v>
      </c>
      <c r="C18" s="32" t="s">
        <v>48</v>
      </c>
      <c r="D18" s="55"/>
      <c r="E18" s="32" t="s">
        <v>49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25">
      <c r="A19" s="30">
        <v>17</v>
      </c>
      <c r="B19" s="31">
        <v>46340</v>
      </c>
      <c r="C19" s="32" t="s">
        <v>33</v>
      </c>
      <c r="D19" s="55"/>
      <c r="E19" s="32" t="s">
        <v>48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25">
      <c r="A20" s="30">
        <v>18</v>
      </c>
      <c r="B20" s="31">
        <v>46341</v>
      </c>
      <c r="C20" s="32" t="s">
        <v>49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25">
      <c r="A21" s="30">
        <v>19</v>
      </c>
      <c r="B21" s="31">
        <v>46341</v>
      </c>
      <c r="C21" s="32" t="s">
        <v>35</v>
      </c>
      <c r="D21" s="55"/>
      <c r="E21" s="32" t="s">
        <v>50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25">
      <c r="A22" s="30">
        <v>20</v>
      </c>
      <c r="B22" s="31">
        <v>46346</v>
      </c>
      <c r="C22" s="32" t="s">
        <v>33</v>
      </c>
      <c r="D22" s="55"/>
      <c r="E22" s="32" t="s">
        <v>49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25">
      <c r="A23" s="30">
        <v>21</v>
      </c>
      <c r="B23" s="31">
        <v>46347</v>
      </c>
      <c r="C23" s="32" t="s">
        <v>50</v>
      </c>
      <c r="D23" s="55"/>
      <c r="E23" s="32" t="s">
        <v>48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25">
      <c r="A24" s="30">
        <v>22</v>
      </c>
      <c r="B24" s="31">
        <v>46347</v>
      </c>
      <c r="C24" s="32" t="s">
        <v>47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25">
      <c r="A25" s="30">
        <v>23</v>
      </c>
      <c r="B25" s="31">
        <v>46360</v>
      </c>
      <c r="C25" s="32" t="s">
        <v>43</v>
      </c>
      <c r="D25" s="55"/>
      <c r="E25" s="32" t="s">
        <v>49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25">
      <c r="A26" s="30">
        <v>24</v>
      </c>
      <c r="B26" s="31">
        <v>46362</v>
      </c>
      <c r="C26" s="32" t="s">
        <v>43</v>
      </c>
      <c r="D26" s="55"/>
      <c r="E26" s="32" t="s">
        <v>50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25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25">
      <c r="A28" s="30">
        <v>26</v>
      </c>
      <c r="B28" s="31">
        <v>46367</v>
      </c>
      <c r="C28" s="32" t="s">
        <v>47</v>
      </c>
      <c r="D28" s="55"/>
      <c r="E28" s="32" t="s">
        <v>49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25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25">
      <c r="A30" s="30">
        <v>28</v>
      </c>
      <c r="B30" s="31">
        <v>46403</v>
      </c>
      <c r="C30" s="32" t="s">
        <v>48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25">
      <c r="A31" s="30">
        <v>29</v>
      </c>
      <c r="B31" s="31">
        <v>46409</v>
      </c>
      <c r="C31" s="32" t="s">
        <v>49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25">
      <c r="A32" s="30">
        <v>30</v>
      </c>
      <c r="B32" s="31">
        <v>46410</v>
      </c>
      <c r="C32" s="32" t="s">
        <v>48</v>
      </c>
      <c r="D32" s="55"/>
      <c r="E32" s="32" t="s">
        <v>50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25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25">
      <c r="A34" s="30">
        <v>32</v>
      </c>
      <c r="B34" s="31">
        <v>46417</v>
      </c>
      <c r="C34" s="32" t="s">
        <v>48</v>
      </c>
      <c r="D34" s="55"/>
      <c r="E34" s="32" t="s">
        <v>47</v>
      </c>
      <c r="F34" s="55"/>
      <c r="G34" s="33"/>
      <c r="H34" s="34"/>
      <c r="I34" s="35"/>
      <c r="J34" s="35"/>
    </row>
    <row r="35" spans="1:10" s="36" customFormat="1" x14ac:dyDescent="0.25">
      <c r="A35" s="30">
        <v>33</v>
      </c>
      <c r="B35" s="31">
        <v>46417</v>
      </c>
      <c r="C35" s="32" t="s">
        <v>49</v>
      </c>
      <c r="D35" s="55"/>
      <c r="E35" s="32" t="s">
        <v>50</v>
      </c>
      <c r="F35" s="55"/>
      <c r="G35" s="33"/>
      <c r="H35" s="34"/>
      <c r="I35" s="35"/>
      <c r="J35" s="35"/>
    </row>
    <row r="36" spans="1:10" s="36" customFormat="1" x14ac:dyDescent="0.25">
      <c r="A36" s="30">
        <v>34</v>
      </c>
      <c r="B36" s="31">
        <v>46418</v>
      </c>
      <c r="C36" s="32" t="s">
        <v>43</v>
      </c>
      <c r="D36" s="55"/>
      <c r="E36" s="32" t="s">
        <v>47</v>
      </c>
      <c r="F36" s="55"/>
      <c r="G36" s="33"/>
      <c r="H36" s="34"/>
      <c r="I36" s="35"/>
      <c r="J36" s="35"/>
    </row>
    <row r="37" spans="1:10" s="36" customFormat="1" x14ac:dyDescent="0.25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25">
      <c r="A38" s="30">
        <v>36</v>
      </c>
      <c r="B38" s="31">
        <v>46423</v>
      </c>
      <c r="C38" s="32" t="s">
        <v>50</v>
      </c>
      <c r="D38" s="55"/>
      <c r="E38" s="32" t="s">
        <v>49</v>
      </c>
      <c r="F38" s="55"/>
      <c r="G38" s="33"/>
      <c r="H38" s="34"/>
      <c r="I38" s="35"/>
      <c r="J38" s="35"/>
    </row>
    <row r="39" spans="1:10" s="36" customFormat="1" x14ac:dyDescent="0.25">
      <c r="A39" s="30">
        <v>37</v>
      </c>
      <c r="B39" s="31">
        <v>46424</v>
      </c>
      <c r="C39" s="32" t="s">
        <v>43</v>
      </c>
      <c r="D39" s="55"/>
      <c r="E39" s="32" t="s">
        <v>48</v>
      </c>
      <c r="F39" s="55"/>
      <c r="G39" s="33"/>
      <c r="H39" s="34"/>
      <c r="I39" s="35"/>
      <c r="J39" s="35"/>
    </row>
    <row r="40" spans="1:10" x14ac:dyDescent="0.25">
      <c r="A40" s="30">
        <v>38</v>
      </c>
      <c r="B40" s="31">
        <v>46425</v>
      </c>
      <c r="C40" s="32" t="s">
        <v>47</v>
      </c>
      <c r="D40" s="55"/>
      <c r="E40" s="32" t="s">
        <v>50</v>
      </c>
      <c r="F40" s="55"/>
      <c r="G40" s="33"/>
      <c r="H40" s="24"/>
      <c r="I40" s="13"/>
      <c r="J40" s="13"/>
    </row>
    <row r="41" spans="1:10" x14ac:dyDescent="0.25">
      <c r="A41" s="30">
        <v>39</v>
      </c>
      <c r="B41" s="31">
        <v>46430</v>
      </c>
      <c r="C41" s="32" t="s">
        <v>50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25">
      <c r="A42" s="30">
        <v>40</v>
      </c>
      <c r="B42" s="31">
        <v>46430</v>
      </c>
      <c r="C42" s="32" t="s">
        <v>35</v>
      </c>
      <c r="D42" s="55"/>
      <c r="E42" s="32" t="s">
        <v>49</v>
      </c>
      <c r="F42" s="55"/>
      <c r="G42" s="33"/>
      <c r="H42" s="24"/>
      <c r="I42" s="13"/>
      <c r="J42" s="13"/>
    </row>
    <row r="43" spans="1:10" x14ac:dyDescent="0.25">
      <c r="A43" s="30">
        <v>41</v>
      </c>
      <c r="B43" s="31">
        <v>46431</v>
      </c>
      <c r="C43" s="32" t="s">
        <v>49</v>
      </c>
      <c r="D43" s="55"/>
      <c r="E43" s="32" t="s">
        <v>48</v>
      </c>
      <c r="F43" s="55"/>
      <c r="G43" s="33"/>
      <c r="H43" s="24"/>
      <c r="I43" s="13"/>
      <c r="J43" s="13"/>
    </row>
    <row r="44" spans="1:10" x14ac:dyDescent="0.25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.75" thickBot="1" x14ac:dyDescent="0.3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25">
      <c r="A46" s="94" t="s">
        <v>41</v>
      </c>
      <c r="B46" s="95"/>
      <c r="C46" s="95"/>
      <c r="D46" s="95"/>
      <c r="E46" s="95"/>
      <c r="F46" s="95"/>
      <c r="G46" s="96"/>
      <c r="H46" s="24"/>
      <c r="I46" s="13"/>
      <c r="J46" s="13"/>
    </row>
    <row r="47" spans="1:10" x14ac:dyDescent="0.25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25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25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25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.75" thickBot="1" x14ac:dyDescent="0.3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25">
      <c r="A52" s="97"/>
      <c r="B52" s="97"/>
      <c r="C52" s="97"/>
      <c r="D52" s="97"/>
      <c r="E52" s="97"/>
      <c r="F52" s="97"/>
      <c r="G52" s="97"/>
      <c r="H52" s="12"/>
      <c r="I52" s="13"/>
      <c r="J52" s="13"/>
    </row>
    <row r="53" spans="1:10" x14ac:dyDescent="0.25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25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25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25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25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25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25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25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25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25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25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25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25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25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25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25">
      <c r="C73" s="21"/>
      <c r="D73" s="58"/>
      <c r="E73" s="21"/>
      <c r="F73" s="58"/>
    </row>
    <row r="74" spans="1:10" x14ac:dyDescent="0.25">
      <c r="H74">
        <f>D75+F75</f>
        <v>0</v>
      </c>
    </row>
    <row r="75" spans="1:10" x14ac:dyDescent="0.25">
      <c r="D75" s="54">
        <f>SUM(D3:D73)</f>
        <v>0</v>
      </c>
      <c r="F75" s="54">
        <f>SUM(F3:F73)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1" destinationFile="C:\Users\casse\OneDrive\Webmaster\methockey\results\results-atlantic-east-include.html" autoRepublish="1"/>
    <webPublishItem id="12522" divId="MCHC 2019-20 Standings Worksheet_12522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2026-09-14T21:39:31Z</dcterms:modified>
</cp:coreProperties>
</file>