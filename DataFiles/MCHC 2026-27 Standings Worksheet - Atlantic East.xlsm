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34" documentId="8_{8268D4C1-7B53-46C4-9ED1-2963CB9CD6DC}" xr6:coauthVersionLast="47" xr6:coauthVersionMax="47" xr10:uidLastSave="{A443EB3A-7453-481D-A2D5-18A722FE1948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" i="2" l="1"/>
  <c r="P19" i="1"/>
  <c r="Q19" i="1" s="1"/>
  <c r="O25" i="1"/>
  <c r="P26" i="1"/>
  <c r="Q26" i="1" s="1"/>
  <c r="P23" i="1"/>
  <c r="Q2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5" i="1"/>
  <c r="Q25" i="1" s="1"/>
  <c r="P24" i="1"/>
  <c r="Q24" i="1" s="1"/>
  <c r="P22" i="1"/>
  <c r="Q22" i="1" s="1"/>
  <c r="P21" i="1"/>
  <c r="Q21" i="1" s="1"/>
  <c r="P20" i="1"/>
  <c r="Q20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13" i="1"/>
  <c r="Q13" i="1" s="1"/>
  <c r="P12" i="1"/>
  <c r="Q12" i="1" s="1"/>
  <c r="P11" i="1"/>
  <c r="Q11" i="1" s="1"/>
  <c r="P10" i="1"/>
  <c r="Q10" i="1" s="1"/>
  <c r="P9" i="1"/>
  <c r="Q9" i="1" s="1"/>
  <c r="P8" i="1"/>
  <c r="Q8" i="1" s="1"/>
  <c r="F75" i="1"/>
  <c r="D75" i="1"/>
  <c r="H13" i="2" a="1"/>
  <c r="H74" i="1" l="1"/>
  <c r="T7" i="1"/>
  <c r="T5" i="1"/>
  <c r="T3" i="1"/>
  <c r="T4" i="1"/>
  <c r="T6" i="1"/>
  <c r="H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<sst xmlns="http://schemas.openxmlformats.org/spreadsheetml/2006/main" count="144" uniqueCount="52">
  <si>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</si>
  <si>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</si>
  <si>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</si>
  <si>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</si>
  <si>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</si>
  <si>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</si>
  <si>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</si>
  <si>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</si>
  <si>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</si>
  <si>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</si>
  <si>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</si>
  <si>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</si>
  <si>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</si>
  <si>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</si>
  <si>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</si>
  <si>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</si>
  <si>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</si>
  <si>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</si>
  <si>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</si>
  <si>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</si>
  <si>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</si>
  <si>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</si>
  <si>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</si>
  <si>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</si>
  <si>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</si>
  <si>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</si>
  <si>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</si>
  <si>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</si>
  <si>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</si>
  <si>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</si>
  <si>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</si>
  <si>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</si>
  <si>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HOFSTRA</t>
  </si>
  <si>
    <t>SHU ACDC</t>
  </si>
  <si>
    <t>px</t>
  </si>
  <si>
    <t>SJU</t>
  </si>
  <si>
    <t>E1</t>
  </si>
  <si>
    <t>E2</t>
  </si>
  <si>
    <t>E3</t>
  </si>
  <si>
    <t>E4</t>
  </si>
  <si>
    <t>E5</t>
  </si>
  <si>
    <t>2026-27 MCHC Playoffs (Atlantic East)</t>
  </si>
  <si>
    <t>MARITIME</t>
  </si>
  <si>
    <t>USMMA</t>
  </si>
  <si>
    <t>WESTCONN</t>
  </si>
  <si>
    <t>COLUMBIA</t>
  </si>
  <si>
    <t>Hofstra</t>
  </si>
  <si>
    <t>Maritime</t>
  </si>
  <si>
    <t>Columbia</t>
  </si>
  <si>
    <t>WestConn</t>
  </si>
  <si>
    <t>12-Game Season;
Top 3 Teams Qualify for Playoffs;
1st Place Team Qualifies for Metropolitan Division Playoffs</t>
  </si>
  <si>
    <t>Hofstra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</si>
</sst>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  <font>
      <b/>
      <sz val="10"/>
      <color theme="0"/>
      <name val="Calibri"/>
      <family val="2"/>
    </font>
    <font>
      <b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8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0" fillId="2" borderId="5" xfId="0" applyNumberFormat="1" applyFont="1" applyFill="1" applyBorder="1" applyAlignment="1">
      <alignment horizontal="center" vertical="center"/>
    </xf>
    <xf numFmtId="0" fontId="0" fillId="0" borderId="20" xfId="0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1" fillId="2" borderId="14" xfId="0" applyFont="1" applyFill="1" applyBorder="1" applyAlignment="1">
      <alignment vertical="center" wrapText="1"/>
    </xf>
    <xf numFmtId="0" fontId="8" fillId="0" borderId="22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3" xfId="0" applyFont="1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4" xfId="0" applyFont="1" applyBorder="1" applyAlignment="1">
      <alignment horizontal="center" vertical="center"/>
    </xf>
    <xf numFmtId="164" fontId="8" fillId="0" borderId="25" xfId="0" applyNumberFormat="1" applyFont="1" applyBorder="1" applyAlignment="1">
      <alignment horizontal="center" vertical="center"/>
    </xf>
    <xf numFmtId="0" fontId="18" fillId="0" borderId="25" xfId="2" applyFont="1" applyBorder="1" applyAlignment="1">
      <alignment horizontal="center" vertical="center"/>
    </xf>
    <xf numFmtId="0" fontId="9" fillId="0" borderId="26" xfId="0" applyFont="1" applyBorder="1" applyAlignment="1">
      <alignment vertical="center"/>
    </xf>
    <xf numFmtId="14" fontId="22" fillId="2" borderId="21" xfId="0" applyNumberFormat="1" applyFont="1" applyFill="1" applyBorder="1" applyAlignment="1">
      <alignment vertical="center"/>
    </xf>
    <xf numFmtId="0" fontId="19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23" fillId="0" borderId="3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3" fillId="0" borderId="0" xfId="0" applyFont="1" applyAlignment="1">
      <alignment horizontal="center"/>
    </xf>
    <xf numFmtId="0" fontId="24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23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0" fontId="25" fillId="2" borderId="14" xfId="0" applyFont="1" applyFill="1" applyBorder="1" applyAlignment="1">
      <alignment vertical="top"/>
    </xf>
    <xf numFmtId="0" fontId="25" fillId="2" borderId="15" xfId="0" applyFont="1" applyFill="1" applyBorder="1" applyAlignment="1">
      <alignment vertical="top"/>
    </xf>
    <xf numFmtId="1" fontId="20" fillId="2" borderId="8" xfId="0" applyNumberFormat="1" applyFont="1" applyFill="1" applyBorder="1" applyAlignment="1">
      <alignment horizontal="center" vertical="center"/>
    </xf>
    <xf numFmtId="0" fontId="10" fillId="0" borderId="0" xfId="0" applyFont="1" applyAlignment="1">
      <alignment horizontal="center" vertical="center"/>
    </xf>
    <xf numFmtId="1" fontId="20" fillId="2" borderId="19" xfId="0" applyNumberFormat="1" applyFont="1" applyFill="1" applyBorder="1" applyAlignment="1">
      <alignment horizontal="center" vertical="center"/>
    </xf>
    <xf numFmtId="1" fontId="20" fillId="2" borderId="28" xfId="0" applyNumberFormat="1" applyFont="1" applyFill="1" applyBorder="1" applyAlignment="1">
      <alignment horizontal="center" vertical="center"/>
    </xf>
    <xf numFmtId="0" fontId="25" fillId="2" borderId="16" xfId="0" applyFont="1" applyFill="1" applyBorder="1" applyAlignment="1">
      <alignment vertical="top"/>
    </xf>
    <xf numFmtId="0" fontId="26" fillId="0" borderId="0" xfId="0" applyFont="1" applyAlignment="1">
      <alignment horizontal="center"/>
    </xf>
    <xf numFmtId="1" fontId="20" fillId="0" borderId="0" xfId="0" applyNumberFormat="1" applyFont="1" applyAlignment="1">
      <alignment horizontal="center" vertical="center"/>
    </xf>
    <xf numFmtId="0" fontId="25" fillId="0" borderId="0" xfId="0" applyFont="1" applyAlignment="1">
      <alignment horizontal="center"/>
    </xf>
    <xf numFmtId="0" fontId="25" fillId="0" borderId="0" xfId="0" applyFont="1" applyAlignment="1">
      <alignment vertical="top"/>
    </xf>
    <xf numFmtId="14" fontId="22" fillId="0" borderId="0" xfId="0" applyNumberFormat="1" applyFont="1" applyAlignment="1">
      <alignment horizontal="left" vertical="center"/>
    </xf>
    <xf numFmtId="0" fontId="21" fillId="0" borderId="0" xfId="0" applyFont="1" applyAlignment="1">
      <alignment horizontal="center" vertical="center" wrapText="1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27" fillId="2" borderId="21" xfId="0" applyFont="1" applyFill="1" applyBorder="1" applyAlignment="1">
      <alignment horizontal="center" vertical="center"/>
    </xf>
    <xf numFmtId="0" fontId="27" fillId="2" borderId="27" xfId="0" applyFont="1" applyFill="1" applyBorder="1" applyAlignment="1">
      <alignment horizontal="center" vertical="center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0" fontId="25" fillId="2" borderId="12" xfId="0" applyFont="1" applyFill="1" applyBorder="1" applyAlignment="1">
      <alignment horizontal="center"/>
    </xf>
    <xf numFmtId="0" fontId="25" fillId="2" borderId="0" xfId="0" applyFont="1" applyFill="1" applyAlignment="1">
      <alignment horizontal="center"/>
    </xf>
    <xf numFmtId="0" fontId="25" fillId="2" borderId="13" xfId="0" applyFont="1" applyFill="1" applyBorder="1" applyAlignment="1">
      <alignment horizontal="center"/>
    </xf>
    <xf numFmtId="0" fontId="21" fillId="2" borderId="35" xfId="0" applyFont="1" applyFill="1" applyBorder="1" applyAlignment="1">
      <alignment horizontal="center" vertical="center" wrapText="1"/>
    </xf>
    <xf numFmtId="0" fontId="21" fillId="2" borderId="36" xfId="0" applyFont="1" applyFill="1" applyBorder="1" applyAlignment="1">
      <alignment horizontal="center" vertical="center" wrapText="1"/>
    </xf>
    <xf numFmtId="0" fontId="21" fillId="2" borderId="37" xfId="0" applyFont="1" applyFill="1" applyBorder="1" applyAlignment="1">
      <alignment horizontal="center" vertical="center" wrapText="1"/>
    </xf>
    <xf numFmtId="14" fontId="22" fillId="2" borderId="34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right" vertical="center"/>
    </xf>
    <xf numFmtId="14" fontId="22" fillId="2" borderId="33" xfId="0" applyNumberFormat="1" applyFont="1" applyFill="1" applyBorder="1" applyAlignment="1">
      <alignment horizontal="left" vertical="center"/>
    </xf>
    <xf numFmtId="14" fontId="22" fillId="2" borderId="32" xfId="0" applyNumberFormat="1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1:P15"/>
  <sheetViews>
    <sheetView tabSelected="1" workbookViewId="0">
      <selection activeCell="R14" sqref="R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4.33203125" style="1" customWidth="1"/>
    <col min="4" max="4" width="3.109375" style="1" customWidth="1"/>
    <col min="5" max="6" width="3.109375" customWidth="1"/>
    <col min="7" max="7" width="3.33203125" customWidth="1"/>
    <col min="8" max="8" width="3.44140625" bestFit="1" customWidth="1"/>
    <col min="9" max="9" width="4.6640625" customWidth="1"/>
    <col min="10" max="10" width="4.88671875" customWidth="1"/>
    <col min="11" max="11" width="4" customWidth="1"/>
    <col min="12" max="12" width="4" bestFit="1" customWidth="1"/>
  </cols>
  <sheetData>
    <row r="1" spans="1:16" x14ac:dyDescent="0.3">
      <c r="C1" s="1">
        <v>100</v>
      </c>
      <c r="D1" s="1">
        <v>22</v>
      </c>
      <c r="E1">
        <v>22</v>
      </c>
      <c r="F1" s="1">
        <v>22</v>
      </c>
      <c r="G1" s="1">
        <v>23</v>
      </c>
      <c r="H1" s="1">
        <v>24</v>
      </c>
      <c r="I1" s="1">
        <v>33</v>
      </c>
      <c r="J1" s="1">
        <v>34</v>
      </c>
      <c r="K1" s="1"/>
      <c r="L1">
        <f>SUM(C1:J1)</f>
        <v>280</v>
      </c>
      <c r="M1" t="s">
        <v>34</v>
      </c>
    </row>
    <row r="2" spans="1:16" s="2" customFormat="1" ht="12" customHeight="1" thickBot="1" x14ac:dyDescent="0.35">
      <c r="A2" s="101"/>
      <c r="B2" s="101"/>
      <c r="C2" s="101"/>
      <c r="D2" s="101"/>
      <c r="E2" s="101"/>
      <c r="F2" s="101"/>
      <c r="G2" s="101"/>
      <c r="H2" s="101"/>
      <c r="I2" s="101"/>
      <c r="J2" s="101"/>
      <c r="K2" s="75"/>
    </row>
    <row r="3" spans="1:16" ht="18" x14ac:dyDescent="0.3">
      <c r="A3" s="102"/>
      <c r="B3" s="59"/>
      <c r="C3" s="59" t="s">
        <v>2</v>
      </c>
      <c r="D3" s="85" t="s">
        <v>21</v>
      </c>
      <c r="E3" s="85" t="s">
        <v>19</v>
      </c>
      <c r="F3" s="85" t="s">
        <v>20</v>
      </c>
      <c r="G3" s="85" t="s">
        <v>29</v>
      </c>
      <c r="H3" s="85" t="s">
        <v>30</v>
      </c>
      <c r="I3" s="85" t="s">
        <v>3</v>
      </c>
      <c r="J3" s="86" t="s">
        <v>4</v>
      </c>
      <c r="K3" s="79"/>
      <c r="M3" s="97" t="s">
        <v>10</v>
      </c>
      <c r="N3" s="98"/>
      <c r="O3" s="98"/>
      <c r="P3" s="98"/>
    </row>
    <row r="4" spans="1:16" ht="18" customHeight="1" x14ac:dyDescent="0.3">
      <c r="A4" s="102"/>
      <c r="B4" s="53">
        <v>1</v>
      </c>
      <c r="C4" s="87" t="s">
        <v>46</v>
      </c>
      <c r="D4" s="74">
        <v>2</v>
      </c>
      <c r="E4" s="74">
        <v>2</v>
      </c>
      <c r="F4" s="74">
        <v>0</v>
      </c>
      <c r="G4" s="74">
        <v>0</v>
      </c>
      <c r="H4" s="74">
        <v>4</v>
      </c>
      <c r="I4" s="74">
        <v>16</v>
      </c>
      <c r="J4" s="76">
        <v>10</v>
      </c>
      <c r="K4" s="80"/>
      <c r="M4" s="4">
        <v>1</v>
      </c>
      <c r="N4" t="s">
        <v>11</v>
      </c>
    </row>
    <row r="5" spans="1:16" ht="18" customHeight="1" x14ac:dyDescent="0.3">
      <c r="A5" s="102"/>
      <c r="B5" s="53">
        <v>2</v>
      </c>
      <c r="C5" s="88" t="s">
        <v>48</v>
      </c>
      <c r="D5" s="23">
        <v>0</v>
      </c>
      <c r="E5" s="23">
        <v>0</v>
      </c>
      <c r="F5" s="23">
        <v>0</v>
      </c>
      <c r="G5" s="23">
        <v>0</v>
      </c>
      <c r="H5" s="23">
        <v>0</v>
      </c>
      <c r="I5" s="23">
        <v>0</v>
      </c>
      <c r="J5" s="77">
        <v>0</v>
      </c>
      <c r="K5" s="80"/>
      <c r="M5" s="4">
        <v>2</v>
      </c>
      <c r="N5" t="s">
        <v>12</v>
      </c>
    </row>
    <row r="6" spans="1:16" ht="18" customHeight="1" x14ac:dyDescent="0.3">
      <c r="A6" s="102"/>
      <c r="B6" s="53">
        <v>3</v>
      </c>
      <c r="C6" s="88" t="s">
        <v>47</v>
      </c>
      <c r="D6" s="23">
        <v>0</v>
      </c>
      <c r="E6" s="23">
        <v>0</v>
      </c>
      <c r="F6" s="23">
        <v>0</v>
      </c>
      <c r="G6" s="23">
        <v>0</v>
      </c>
      <c r="H6" s="23">
        <v>0</v>
      </c>
      <c r="I6" s="23">
        <v>0</v>
      </c>
      <c r="J6" s="77">
        <v>0</v>
      </c>
      <c r="K6" s="80"/>
      <c r="M6" s="4">
        <v>3</v>
      </c>
      <c r="N6" t="s">
        <v>13</v>
      </c>
    </row>
    <row r="7" spans="1:16" ht="18" customHeight="1" x14ac:dyDescent="0.3">
      <c r="A7" s="102"/>
      <c r="B7" s="53">
        <v>4</v>
      </c>
      <c r="C7" s="88" t="s">
        <v>43</v>
      </c>
      <c r="D7" s="23">
        <v>0</v>
      </c>
      <c r="E7" s="23">
        <v>0</v>
      </c>
      <c r="F7" s="23">
        <v>0</v>
      </c>
      <c r="G7" s="23">
        <v>0</v>
      </c>
      <c r="H7" s="23">
        <v>0</v>
      </c>
      <c r="I7" s="23">
        <v>0</v>
      </c>
      <c r="J7" s="77">
        <v>0</v>
      </c>
      <c r="K7" s="80"/>
      <c r="M7" s="4">
        <v>4</v>
      </c>
      <c r="N7" t="s">
        <v>15</v>
      </c>
    </row>
    <row r="8" spans="1:16" ht="18" customHeight="1" x14ac:dyDescent="0.3">
      <c r="A8" s="102"/>
      <c r="B8" s="53">
        <v>5</v>
      </c>
      <c r="C8" s="88" t="s">
        <v>49</v>
      </c>
      <c r="D8" s="23">
        <v>0</v>
      </c>
      <c r="E8" s="23">
        <v>0</v>
      </c>
      <c r="F8" s="23">
        <v>0</v>
      </c>
      <c r="G8" s="23">
        <v>0</v>
      </c>
      <c r="H8" s="23">
        <v>0</v>
      </c>
      <c r="I8" s="23">
        <v>0</v>
      </c>
      <c r="J8" s="77">
        <v>0</v>
      </c>
      <c r="K8" s="80"/>
      <c r="M8" s="4">
        <v>5</v>
      </c>
      <c r="N8" t="s">
        <v>17</v>
      </c>
    </row>
    <row r="9" spans="1:16" ht="18" customHeight="1" x14ac:dyDescent="0.3">
      <c r="A9" s="102"/>
      <c r="B9" s="53">
        <v>6</v>
      </c>
      <c r="C9" s="88" t="s">
        <v>33</v>
      </c>
      <c r="D9" s="23">
        <v>1</v>
      </c>
      <c r="E9" s="23">
        <v>0</v>
      </c>
      <c r="F9" s="23">
        <v>1</v>
      </c>
      <c r="G9" s="23">
        <v>0</v>
      </c>
      <c r="H9" s="23">
        <v>0</v>
      </c>
      <c r="I9" s="23">
        <v>7</v>
      </c>
      <c r="J9" s="77">
        <v>10</v>
      </c>
      <c r="K9" s="80"/>
    </row>
    <row r="10" spans="1:16" ht="18" customHeight="1" thickBot="1" x14ac:dyDescent="0.35">
      <c r="A10" s="102"/>
      <c r="B10" s="53">
        <v>7</v>
      </c>
      <c r="C10" s="88" t="s">
        <v>35</v>
      </c>
      <c r="D10" s="23">
        <v>1</v>
      </c>
      <c r="E10" s="23">
        <v>0</v>
      </c>
      <c r="F10" s="23">
        <v>1</v>
      </c>
      <c r="G10" s="23">
        <v>0</v>
      </c>
      <c r="H10" s="23">
        <v>0</v>
      </c>
      <c r="I10" s="23">
        <v>3</v>
      </c>
      <c r="J10" s="77">
        <v>6</v>
      </c>
      <c r="K10" s="80"/>
      <c r="M10" t="s">
        <v>14</v>
      </c>
    </row>
    <row r="11" spans="1:16" ht="18" hidden="1" customHeight="1" thickBot="1" x14ac:dyDescent="0.35">
      <c r="A11" s="102"/>
      <c r="B11" s="53"/>
      <c r="C11" s="103"/>
      <c r="D11" s="104"/>
      <c r="E11" s="104"/>
      <c r="F11" s="104"/>
      <c r="G11" s="104"/>
      <c r="H11" s="104"/>
      <c r="I11" s="104"/>
      <c r="J11" s="105"/>
      <c r="K11" s="81"/>
    </row>
    <row r="12" spans="1:16" ht="16.8" thickTop="1" thickBot="1" x14ac:dyDescent="0.35">
      <c r="A12" s="102"/>
      <c r="B12" s="53"/>
      <c r="C12" s="72"/>
      <c r="D12" s="73"/>
      <c r="E12" s="73"/>
      <c r="F12" s="73"/>
      <c r="G12" s="73"/>
      <c r="H12" s="73"/>
      <c r="I12" s="73"/>
      <c r="J12" s="78"/>
      <c r="K12" s="82"/>
      <c r="M12" s="99" t="s">
        <v>16</v>
      </c>
      <c r="N12" s="99"/>
      <c r="O12" s="99"/>
      <c r="P12" s="5">
        <v>2</v>
      </c>
    </row>
    <row r="13" spans="1:16" ht="15.6" x14ac:dyDescent="0.3">
      <c r="A13" s="1"/>
      <c r="B13" s="52"/>
      <c r="C13" s="109" t="s">
        <v>31</v>
      </c>
      <c r="D13" s="110"/>
      <c r="E13" s="110"/>
      <c r="F13" s="110"/>
      <c r="G13" s="110"/>
      <c r="H13" s="111" cm="1">
        <f t="array" aca="1" ref="H13" ca="1">LastModified()</f>
        <v>46286.577164351853</v>
      </c>
      <c r="I13" s="111"/>
      <c r="J13" s="112"/>
      <c r="K13" s="83"/>
      <c r="M13" s="28"/>
      <c r="N13" s="28"/>
      <c r="O13" s="28"/>
    </row>
    <row r="14" spans="1:16" ht="66.599999999999994" customHeight="1" thickBot="1" x14ac:dyDescent="0.35">
      <c r="B14" s="29"/>
      <c r="C14" s="106" t="s">
        <v>50</v>
      </c>
      <c r="D14" s="107"/>
      <c r="E14" s="107"/>
      <c r="F14" s="107"/>
      <c r="G14" s="107"/>
      <c r="H14" s="107"/>
      <c r="I14" s="107"/>
      <c r="J14" s="108"/>
      <c r="K14" s="84"/>
    </row>
    <row r="15" spans="1:16" x14ac:dyDescent="0.3">
      <c r="G15" s="100" t="s">
        <v>18</v>
      </c>
      <c r="H15" s="100"/>
      <c r="I15" s="7">
        <f>SUM(I4:I12)</f>
        <v>26</v>
      </c>
      <c r="J15" s="7">
        <f>SUM(J4:J12)</f>
        <v>26</v>
      </c>
      <c r="K15" s="7"/>
    </row>
  </sheetData>
  <sortState xmlns:xlrd2="http://schemas.microsoft.com/office/spreadsheetml/2017/richdata2" ref="C4:J10"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J2"/>
    <mergeCell ref="A3:A12"/>
    <mergeCell ref="C11:J11"/>
    <mergeCell ref="C14:J14"/>
    <mergeCell ref="C13:G13"/>
    <mergeCell ref="H13:J13"/>
  </mergeCells>
  <pageMargins left="0.7" right="0.7" top="0.75" bottom="0.75" header="0.3" footer="0.3"/>
  <pageSetup orientation="portrait" r:id="rId1"/>
  <drawing r:id="rId2"/>
  <webPublishItems count="1">
    <webPublishItem id="1591" divId="MCHC 2026-27 Standings Worksheet - Atlantic East_copy_1591" sourceType="range" sourceRef="C3:J14" destinationFile="C:\Users\casse\OneDrive\Webmaster\methockey\standings\standings-atlantic-east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75"/>
  <sheetViews>
    <sheetView zoomScaleNormal="100" workbookViewId="0">
      <selection activeCell="A4" sqref="A4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.33203125" style="54" bestFit="1" customWidth="1"/>
    <col min="5" max="5" width="10.88671875" style="19" bestFit="1" customWidth="1"/>
    <col min="6" max="6" width="3.33203125" style="54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45</v>
      </c>
      <c r="N1" s="6">
        <v>1</v>
      </c>
      <c r="O1" s="22" t="s">
        <v>28</v>
      </c>
      <c r="R1" s="89" t="s">
        <v>26</v>
      </c>
      <c r="S1" s="90"/>
      <c r="T1" s="64">
        <f>MAX(A:A)</f>
        <v>42</v>
      </c>
      <c r="U1" s="63"/>
    </row>
    <row r="2" spans="1:21" ht="15.6" thickTop="1" thickBot="1" x14ac:dyDescent="0.35">
      <c r="A2" s="60" t="s">
        <v>6</v>
      </c>
      <c r="B2" s="61" t="s">
        <v>5</v>
      </c>
      <c r="C2" s="62" t="s">
        <v>1</v>
      </c>
      <c r="D2" s="62"/>
      <c r="E2" s="62" t="s">
        <v>0</v>
      </c>
      <c r="F2" s="62"/>
      <c r="G2" s="63"/>
      <c r="H2" s="3"/>
      <c r="M2" s="6" t="s">
        <v>32</v>
      </c>
      <c r="N2" s="6">
        <v>2</v>
      </c>
      <c r="P2" s="17" t="s">
        <v>22</v>
      </c>
      <c r="Q2" s="18" t="s">
        <v>23</v>
      </c>
      <c r="R2" s="91" t="s">
        <v>27</v>
      </c>
      <c r="S2" s="92"/>
      <c r="T2" s="65">
        <f>SUM(T3:T7)</f>
        <v>2</v>
      </c>
      <c r="U2" s="66"/>
    </row>
    <row r="3" spans="1:21" s="36" customFormat="1" ht="15.6" thickTop="1" thickBot="1" x14ac:dyDescent="0.35">
      <c r="A3" s="30">
        <v>1</v>
      </c>
      <c r="B3" s="31">
        <v>46283</v>
      </c>
      <c r="C3" s="32" t="s">
        <v>46</v>
      </c>
      <c r="D3" s="55">
        <v>6</v>
      </c>
      <c r="E3" s="32" t="s">
        <v>35</v>
      </c>
      <c r="F3" s="55">
        <v>3</v>
      </c>
      <c r="G3" s="33"/>
      <c r="H3" s="34" t="s">
        <v>51</v>
      </c>
      <c r="I3" s="35">
        <v>5</v>
      </c>
      <c r="J3" s="35"/>
      <c r="M3" s="6" t="s">
        <v>42</v>
      </c>
      <c r="N3" s="38">
        <v>3</v>
      </c>
      <c r="P3" s="39">
        <f>D3-F3</f>
        <v>3</v>
      </c>
      <c r="Q3" s="36">
        <f>ABS(P3)</f>
        <v>3</v>
      </c>
      <c r="R3" s="40">
        <v>1</v>
      </c>
      <c r="S3" s="36" t="s">
        <v>25</v>
      </c>
      <c r="T3" s="36">
        <f>COUNTIF($Q$3:$Q$32,R3)</f>
        <v>0</v>
      </c>
      <c r="U3" s="41">
        <f>IF($T$2&gt;0, T3/$T$2, 0)</f>
        <v>0</v>
      </c>
    </row>
    <row r="4" spans="1:21" s="36" customFormat="1" ht="15.6" thickTop="1" thickBot="1" x14ac:dyDescent="0.35">
      <c r="A4" s="30">
        <v>2</v>
      </c>
      <c r="B4" s="31">
        <v>46285</v>
      </c>
      <c r="C4" s="32" t="s">
        <v>46</v>
      </c>
      <c r="D4" s="55">
        <v>10</v>
      </c>
      <c r="E4" s="32" t="s">
        <v>33</v>
      </c>
      <c r="F4" s="55">
        <v>7</v>
      </c>
      <c r="G4" s="33"/>
      <c r="H4" s="34" t="s">
        <v>51</v>
      </c>
      <c r="I4" s="35">
        <v>4</v>
      </c>
      <c r="J4" s="35"/>
      <c r="M4" s="37" t="s">
        <v>33</v>
      </c>
      <c r="N4" s="38">
        <v>4</v>
      </c>
      <c r="P4" s="39">
        <f t="shared" ref="P4:P11" si="0">D4-F4</f>
        <v>3</v>
      </c>
      <c r="Q4" s="36">
        <f t="shared" ref="Q4:Q11" si="1">ABS(P4)</f>
        <v>3</v>
      </c>
      <c r="R4" s="40">
        <v>2</v>
      </c>
      <c r="S4" s="36" t="s">
        <v>25</v>
      </c>
      <c r="T4" s="36">
        <f>COUNTIF($Q$3:$Q$32,R4)</f>
        <v>0</v>
      </c>
      <c r="U4" s="41">
        <f>IF($T$2&gt;0, T4/$T$2, 0)</f>
        <v>0</v>
      </c>
    </row>
    <row r="5" spans="1:21" s="36" customFormat="1" ht="15.6" thickTop="1" thickBot="1" x14ac:dyDescent="0.35">
      <c r="A5" s="30">
        <v>3</v>
      </c>
      <c r="B5" s="31">
        <v>46290</v>
      </c>
      <c r="C5" s="32" t="s">
        <v>33</v>
      </c>
      <c r="D5" s="55"/>
      <c r="E5" s="32" t="s">
        <v>35</v>
      </c>
      <c r="F5" s="55"/>
      <c r="G5" s="33"/>
      <c r="H5" s="34"/>
      <c r="I5" s="35"/>
      <c r="J5" s="35"/>
      <c r="M5" s="38" t="s">
        <v>35</v>
      </c>
      <c r="N5" s="38">
        <v>5</v>
      </c>
      <c r="P5" s="39">
        <f t="shared" si="0"/>
        <v>0</v>
      </c>
      <c r="Q5" s="36">
        <f t="shared" si="1"/>
        <v>0</v>
      </c>
      <c r="R5" s="40">
        <v>3</v>
      </c>
      <c r="S5" s="36" t="s">
        <v>25</v>
      </c>
      <c r="T5" s="36">
        <f>COUNTIF($Q$3:$Q$32,R5)</f>
        <v>2</v>
      </c>
      <c r="U5" s="41">
        <f>IF($T$2&gt;0, T5/$T$2, 0)</f>
        <v>1</v>
      </c>
    </row>
    <row r="6" spans="1:21" s="36" customFormat="1" ht="15.6" thickTop="1" thickBot="1" x14ac:dyDescent="0.35">
      <c r="A6" s="30">
        <v>4</v>
      </c>
      <c r="B6" s="31">
        <v>46297</v>
      </c>
      <c r="C6" s="32" t="s">
        <v>47</v>
      </c>
      <c r="D6" s="55"/>
      <c r="E6" s="32" t="s">
        <v>35</v>
      </c>
      <c r="F6" s="55"/>
      <c r="G6" s="33"/>
      <c r="H6" s="34"/>
      <c r="I6" s="35"/>
      <c r="J6" s="35"/>
      <c r="M6" s="38" t="s">
        <v>43</v>
      </c>
      <c r="N6" s="38">
        <v>6</v>
      </c>
      <c r="P6" s="39">
        <f t="shared" si="0"/>
        <v>0</v>
      </c>
      <c r="Q6" s="36">
        <f t="shared" si="1"/>
        <v>0</v>
      </c>
      <c r="R6" s="40">
        <v>4</v>
      </c>
      <c r="S6" s="36" t="s">
        <v>25</v>
      </c>
      <c r="T6" s="36">
        <f>COUNTIF($Q$3:$Q$32,R6)</f>
        <v>0</v>
      </c>
      <c r="U6" s="41">
        <f>IF($T$2&gt;0, T6/$T$2, 0)</f>
        <v>0</v>
      </c>
    </row>
    <row r="7" spans="1:21" s="36" customFormat="1" ht="15.6" thickTop="1" thickBot="1" x14ac:dyDescent="0.35">
      <c r="A7" s="30">
        <v>5</v>
      </c>
      <c r="B7" s="31">
        <v>46299</v>
      </c>
      <c r="C7" s="32" t="s">
        <v>35</v>
      </c>
      <c r="D7" s="55"/>
      <c r="E7" s="32" t="s">
        <v>46</v>
      </c>
      <c r="F7" s="55"/>
      <c r="G7" s="33"/>
      <c r="H7" s="34"/>
      <c r="I7" s="35"/>
      <c r="J7" s="35"/>
      <c r="M7" s="38" t="s">
        <v>44</v>
      </c>
      <c r="N7" s="38">
        <v>7</v>
      </c>
      <c r="P7" s="39">
        <f t="shared" si="0"/>
        <v>0</v>
      </c>
      <c r="Q7" s="36">
        <f t="shared" si="1"/>
        <v>0</v>
      </c>
      <c r="R7" s="42" t="s">
        <v>24</v>
      </c>
      <c r="S7" s="43" t="s">
        <v>25</v>
      </c>
      <c r="T7" s="43">
        <f>COUNTIF($Q$3:$Q$32,"&gt;=5")</f>
        <v>0</v>
      </c>
      <c r="U7" s="44">
        <f>IF($T$2&gt;0, T7/$T$2, 0)</f>
        <v>0</v>
      </c>
    </row>
    <row r="8" spans="1:21" s="36" customFormat="1" ht="15.6" thickTop="1" thickBot="1" x14ac:dyDescent="0.35">
      <c r="A8" s="30">
        <v>6</v>
      </c>
      <c r="B8" s="31">
        <v>46299</v>
      </c>
      <c r="C8" s="32" t="s">
        <v>47</v>
      </c>
      <c r="D8" s="55"/>
      <c r="E8" s="32" t="s">
        <v>33</v>
      </c>
      <c r="F8" s="55"/>
      <c r="G8" s="33"/>
      <c r="H8" s="34"/>
      <c r="I8" s="35"/>
      <c r="J8" s="35"/>
      <c r="M8" s="38"/>
      <c r="N8" s="38"/>
      <c r="P8" s="39">
        <f t="shared" si="0"/>
        <v>0</v>
      </c>
      <c r="Q8" s="45">
        <f t="shared" si="1"/>
        <v>0</v>
      </c>
      <c r="U8" s="46">
        <f>SUM(U3:U7)</f>
        <v>1</v>
      </c>
    </row>
    <row r="9" spans="1:21" s="36" customFormat="1" ht="15.6" thickTop="1" thickBot="1" x14ac:dyDescent="0.35">
      <c r="A9" s="30">
        <v>7</v>
      </c>
      <c r="B9" s="31">
        <v>46305</v>
      </c>
      <c r="C9" s="32" t="s">
        <v>46</v>
      </c>
      <c r="D9" s="55"/>
      <c r="E9" s="32" t="s">
        <v>47</v>
      </c>
      <c r="F9" s="55"/>
      <c r="G9" s="33"/>
      <c r="H9" s="34"/>
      <c r="I9" s="35"/>
      <c r="J9" s="35"/>
      <c r="M9" s="38"/>
      <c r="N9" s="38"/>
      <c r="P9" s="39">
        <f t="shared" si="0"/>
        <v>0</v>
      </c>
      <c r="Q9" s="45">
        <f t="shared" si="1"/>
        <v>0</v>
      </c>
      <c r="U9" s="46"/>
    </row>
    <row r="10" spans="1:21" s="36" customFormat="1" ht="15.6" thickTop="1" thickBot="1" x14ac:dyDescent="0.35">
      <c r="A10" s="30">
        <v>8</v>
      </c>
      <c r="B10" s="31">
        <v>46306</v>
      </c>
      <c r="C10" s="32" t="s">
        <v>33</v>
      </c>
      <c r="D10" s="55"/>
      <c r="E10" s="32" t="s">
        <v>46</v>
      </c>
      <c r="F10" s="55"/>
      <c r="G10" s="33"/>
      <c r="H10" s="34"/>
      <c r="I10" s="35"/>
      <c r="J10" s="35"/>
      <c r="M10" s="38"/>
      <c r="N10" s="38"/>
      <c r="P10" s="39">
        <f t="shared" si="0"/>
        <v>0</v>
      </c>
      <c r="Q10" s="45">
        <f t="shared" si="1"/>
        <v>0</v>
      </c>
      <c r="U10" s="46"/>
    </row>
    <row r="11" spans="1:21" s="36" customFormat="1" ht="15.6" thickTop="1" thickBot="1" x14ac:dyDescent="0.35">
      <c r="A11" s="30">
        <v>9</v>
      </c>
      <c r="B11" s="31">
        <v>46311</v>
      </c>
      <c r="C11" s="32" t="s">
        <v>48</v>
      </c>
      <c r="D11" s="55"/>
      <c r="E11" s="32" t="s">
        <v>46</v>
      </c>
      <c r="F11" s="55"/>
      <c r="G11" s="33"/>
      <c r="H11" s="34"/>
      <c r="I11" s="35"/>
      <c r="J11" s="35"/>
      <c r="N11" s="38">
        <v>6</v>
      </c>
      <c r="P11" s="39">
        <f t="shared" si="0"/>
        <v>0</v>
      </c>
      <c r="Q11" s="45">
        <f t="shared" si="1"/>
        <v>0</v>
      </c>
      <c r="U11" s="47"/>
    </row>
    <row r="12" spans="1:21" s="36" customFormat="1" ht="15" thickTop="1" x14ac:dyDescent="0.3">
      <c r="A12" s="30">
        <v>10</v>
      </c>
      <c r="B12" s="31">
        <v>46312</v>
      </c>
      <c r="C12" s="32" t="s">
        <v>49</v>
      </c>
      <c r="D12" s="55"/>
      <c r="E12" s="32" t="s">
        <v>35</v>
      </c>
      <c r="F12" s="55"/>
      <c r="G12" s="33"/>
      <c r="H12" s="34"/>
      <c r="I12" s="35"/>
      <c r="J12" s="35"/>
      <c r="P12" s="39">
        <f t="shared" ref="P12:P16" si="2">D12-F12</f>
        <v>0</v>
      </c>
      <c r="Q12" s="45">
        <f t="shared" ref="Q12:Q16" si="3">ABS(P12)</f>
        <v>0</v>
      </c>
    </row>
    <row r="13" spans="1:21" s="36" customFormat="1" x14ac:dyDescent="0.3">
      <c r="A13" s="30">
        <v>11</v>
      </c>
      <c r="B13" s="31">
        <v>46318</v>
      </c>
      <c r="C13" s="32" t="s">
        <v>48</v>
      </c>
      <c r="D13" s="55"/>
      <c r="E13" s="32" t="s">
        <v>35</v>
      </c>
      <c r="F13" s="55"/>
      <c r="G13" s="33"/>
      <c r="H13" s="34"/>
      <c r="I13" s="35"/>
      <c r="J13" s="35"/>
      <c r="P13" s="39">
        <f t="shared" si="2"/>
        <v>0</v>
      </c>
      <c r="Q13" s="45">
        <f t="shared" si="3"/>
        <v>0</v>
      </c>
    </row>
    <row r="14" spans="1:21" s="36" customFormat="1" x14ac:dyDescent="0.3">
      <c r="A14" s="30">
        <v>12</v>
      </c>
      <c r="B14" s="31">
        <v>46319</v>
      </c>
      <c r="C14" s="32" t="s">
        <v>35</v>
      </c>
      <c r="D14" s="55"/>
      <c r="E14" s="32" t="s">
        <v>47</v>
      </c>
      <c r="F14" s="55"/>
      <c r="G14" s="33"/>
      <c r="H14" s="34"/>
      <c r="I14" s="35"/>
      <c r="J14" s="35"/>
      <c r="P14" s="39">
        <f t="shared" si="2"/>
        <v>0</v>
      </c>
      <c r="Q14" s="45">
        <f t="shared" si="3"/>
        <v>0</v>
      </c>
    </row>
    <row r="15" spans="1:21" s="36" customFormat="1" x14ac:dyDescent="0.3">
      <c r="A15" s="30">
        <v>13</v>
      </c>
      <c r="B15" s="31">
        <v>46320</v>
      </c>
      <c r="C15" s="32" t="s">
        <v>49</v>
      </c>
      <c r="D15" s="55"/>
      <c r="E15" s="32" t="s">
        <v>33</v>
      </c>
      <c r="F15" s="55"/>
      <c r="G15" s="33"/>
      <c r="H15" s="34"/>
      <c r="I15" s="35"/>
      <c r="J15" s="35"/>
      <c r="P15" s="39">
        <f t="shared" si="2"/>
        <v>0</v>
      </c>
      <c r="Q15" s="45">
        <f t="shared" si="3"/>
        <v>0</v>
      </c>
    </row>
    <row r="16" spans="1:21" s="36" customFormat="1" x14ac:dyDescent="0.3">
      <c r="A16" s="30">
        <v>14</v>
      </c>
      <c r="B16" s="31">
        <v>46333</v>
      </c>
      <c r="C16" s="32" t="s">
        <v>49</v>
      </c>
      <c r="D16" s="55"/>
      <c r="E16" s="32" t="s">
        <v>46</v>
      </c>
      <c r="F16" s="55"/>
      <c r="G16" s="33"/>
      <c r="H16" s="34"/>
      <c r="I16" s="35"/>
      <c r="J16" s="35"/>
      <c r="P16" s="39">
        <f t="shared" si="2"/>
        <v>0</v>
      </c>
      <c r="Q16" s="45">
        <f t="shared" si="3"/>
        <v>0</v>
      </c>
    </row>
    <row r="17" spans="1:17" s="36" customFormat="1" x14ac:dyDescent="0.3">
      <c r="A17" s="30">
        <v>15</v>
      </c>
      <c r="B17" s="31">
        <v>46334</v>
      </c>
      <c r="C17" s="32" t="s">
        <v>33</v>
      </c>
      <c r="D17" s="55"/>
      <c r="E17" s="32" t="s">
        <v>49</v>
      </c>
      <c r="F17" s="55"/>
      <c r="G17" s="33"/>
      <c r="H17" s="34"/>
      <c r="I17" s="35"/>
      <c r="J17" s="35"/>
      <c r="P17" s="39">
        <f t="shared" ref="P17:P22" si="4">D17-F17</f>
        <v>0</v>
      </c>
      <c r="Q17" s="45">
        <f t="shared" ref="Q17:Q22" si="5">ABS(P17)</f>
        <v>0</v>
      </c>
    </row>
    <row r="18" spans="1:17" s="36" customFormat="1" x14ac:dyDescent="0.3">
      <c r="A18" s="30">
        <v>16</v>
      </c>
      <c r="B18" s="31">
        <v>46339</v>
      </c>
      <c r="C18" s="32" t="s">
        <v>47</v>
      </c>
      <c r="D18" s="55"/>
      <c r="E18" s="32" t="s">
        <v>48</v>
      </c>
      <c r="F18" s="55"/>
      <c r="G18" s="33"/>
      <c r="H18" s="34"/>
      <c r="I18" s="35"/>
      <c r="J18" s="35"/>
      <c r="P18" s="39">
        <f t="shared" si="4"/>
        <v>0</v>
      </c>
      <c r="Q18" s="45">
        <f t="shared" si="5"/>
        <v>0</v>
      </c>
    </row>
    <row r="19" spans="1:17" s="36" customFormat="1" x14ac:dyDescent="0.3">
      <c r="A19" s="30">
        <v>17</v>
      </c>
      <c r="B19" s="31">
        <v>46340</v>
      </c>
      <c r="C19" s="32" t="s">
        <v>33</v>
      </c>
      <c r="D19" s="55"/>
      <c r="E19" s="32" t="s">
        <v>47</v>
      </c>
      <c r="F19" s="55"/>
      <c r="G19" s="33"/>
      <c r="H19" s="34"/>
      <c r="I19" s="35"/>
      <c r="J19" s="35"/>
      <c r="P19" s="39">
        <f t="shared" si="4"/>
        <v>0</v>
      </c>
      <c r="Q19" s="45">
        <f t="shared" si="5"/>
        <v>0</v>
      </c>
    </row>
    <row r="20" spans="1:17" s="36" customFormat="1" x14ac:dyDescent="0.3">
      <c r="A20" s="30">
        <v>18</v>
      </c>
      <c r="B20" s="31">
        <v>46341</v>
      </c>
      <c r="C20" s="32" t="s">
        <v>48</v>
      </c>
      <c r="D20" s="55"/>
      <c r="E20" s="32" t="s">
        <v>33</v>
      </c>
      <c r="F20" s="55"/>
      <c r="G20" s="33"/>
      <c r="H20" s="34"/>
      <c r="I20" s="35"/>
      <c r="J20" s="35"/>
      <c r="P20" s="39">
        <f t="shared" si="4"/>
        <v>0</v>
      </c>
      <c r="Q20" s="45">
        <f t="shared" si="5"/>
        <v>0</v>
      </c>
    </row>
    <row r="21" spans="1:17" s="36" customFormat="1" x14ac:dyDescent="0.3">
      <c r="A21" s="30">
        <v>19</v>
      </c>
      <c r="B21" s="31">
        <v>46341</v>
      </c>
      <c r="C21" s="32" t="s">
        <v>35</v>
      </c>
      <c r="D21" s="55"/>
      <c r="E21" s="32" t="s">
        <v>49</v>
      </c>
      <c r="F21" s="55"/>
      <c r="G21" s="33"/>
      <c r="H21" s="34"/>
      <c r="I21" s="35"/>
      <c r="J21" s="35"/>
      <c r="P21" s="39">
        <f t="shared" si="4"/>
        <v>0</v>
      </c>
      <c r="Q21" s="45">
        <f t="shared" si="5"/>
        <v>0</v>
      </c>
    </row>
    <row r="22" spans="1:17" s="36" customFormat="1" x14ac:dyDescent="0.3">
      <c r="A22" s="30">
        <v>20</v>
      </c>
      <c r="B22" s="31">
        <v>46346</v>
      </c>
      <c r="C22" s="32" t="s">
        <v>33</v>
      </c>
      <c r="D22" s="55"/>
      <c r="E22" s="32" t="s">
        <v>48</v>
      </c>
      <c r="F22" s="55"/>
      <c r="G22" s="33"/>
      <c r="H22" s="34"/>
      <c r="I22" s="35"/>
      <c r="J22" s="35"/>
      <c r="P22" s="39">
        <f t="shared" si="4"/>
        <v>0</v>
      </c>
      <c r="Q22" s="45">
        <f t="shared" si="5"/>
        <v>0</v>
      </c>
    </row>
    <row r="23" spans="1:17" s="36" customFormat="1" x14ac:dyDescent="0.3">
      <c r="A23" s="30">
        <v>21</v>
      </c>
      <c r="B23" s="31">
        <v>46347</v>
      </c>
      <c r="C23" s="32" t="s">
        <v>49</v>
      </c>
      <c r="D23" s="55"/>
      <c r="E23" s="32" t="s">
        <v>47</v>
      </c>
      <c r="F23" s="55"/>
      <c r="G23" s="33"/>
      <c r="H23" s="34"/>
      <c r="I23" s="35"/>
      <c r="J23" s="35"/>
      <c r="P23" s="39">
        <f t="shared" ref="P23:P24" si="6">D23-F23</f>
        <v>0</v>
      </c>
      <c r="Q23" s="45">
        <f t="shared" ref="Q23:Q24" si="7">ABS(P23)</f>
        <v>0</v>
      </c>
    </row>
    <row r="24" spans="1:17" s="36" customFormat="1" x14ac:dyDescent="0.3">
      <c r="A24" s="30">
        <v>22</v>
      </c>
      <c r="B24" s="31">
        <v>46347</v>
      </c>
      <c r="C24" s="32" t="s">
        <v>46</v>
      </c>
      <c r="D24" s="55"/>
      <c r="E24" s="32" t="s">
        <v>43</v>
      </c>
      <c r="F24" s="55"/>
      <c r="G24" s="33"/>
      <c r="H24" s="34"/>
      <c r="I24" s="35"/>
      <c r="J24" s="35"/>
      <c r="P24" s="39">
        <f t="shared" si="6"/>
        <v>0</v>
      </c>
      <c r="Q24" s="45">
        <f t="shared" si="7"/>
        <v>0</v>
      </c>
    </row>
    <row r="25" spans="1:17" s="36" customFormat="1" x14ac:dyDescent="0.3">
      <c r="A25" s="30">
        <v>23</v>
      </c>
      <c r="B25" s="31">
        <v>46360</v>
      </c>
      <c r="C25" s="32" t="s">
        <v>43</v>
      </c>
      <c r="D25" s="55"/>
      <c r="E25" s="32" t="s">
        <v>48</v>
      </c>
      <c r="F25" s="55"/>
      <c r="G25" s="33"/>
      <c r="H25" s="34"/>
      <c r="I25" s="35"/>
      <c r="J25" s="35"/>
      <c r="O25" s="36" t="e">
        <f>LOOKUP(E25,M2:M6,N2:N6)</f>
        <v>#N/A</v>
      </c>
      <c r="P25" s="39">
        <f t="shared" ref="P25:P32" si="8">D25-F25</f>
        <v>0</v>
      </c>
      <c r="Q25" s="45">
        <f t="shared" ref="Q25:Q32" si="9">ABS(P25)</f>
        <v>0</v>
      </c>
    </row>
    <row r="26" spans="1:17" s="36" customFormat="1" x14ac:dyDescent="0.3">
      <c r="A26" s="30">
        <v>24</v>
      </c>
      <c r="B26" s="31">
        <v>46362</v>
      </c>
      <c r="C26" s="32" t="s">
        <v>43</v>
      </c>
      <c r="D26" s="55"/>
      <c r="E26" s="32" t="s">
        <v>49</v>
      </c>
      <c r="F26" s="55"/>
      <c r="G26" s="33"/>
      <c r="H26" s="34"/>
      <c r="I26" s="35"/>
      <c r="J26" s="35"/>
      <c r="P26" s="39">
        <f t="shared" si="8"/>
        <v>0</v>
      </c>
      <c r="Q26" s="45">
        <f t="shared" si="9"/>
        <v>0</v>
      </c>
    </row>
    <row r="27" spans="1:17" s="36" customFormat="1" x14ac:dyDescent="0.3">
      <c r="A27" s="30">
        <v>25</v>
      </c>
      <c r="B27" s="31">
        <v>46367</v>
      </c>
      <c r="C27" s="32" t="s">
        <v>43</v>
      </c>
      <c r="D27" s="55"/>
      <c r="E27" s="32" t="s">
        <v>33</v>
      </c>
      <c r="F27" s="55"/>
      <c r="G27" s="33"/>
      <c r="H27" s="34"/>
      <c r="I27" s="35"/>
      <c r="J27" s="35"/>
      <c r="P27" s="39">
        <f t="shared" si="8"/>
        <v>0</v>
      </c>
      <c r="Q27" s="45">
        <f t="shared" si="9"/>
        <v>0</v>
      </c>
    </row>
    <row r="28" spans="1:17" s="36" customFormat="1" x14ac:dyDescent="0.3">
      <c r="A28" s="30">
        <v>26</v>
      </c>
      <c r="B28" s="31">
        <v>46367</v>
      </c>
      <c r="C28" s="32" t="s">
        <v>46</v>
      </c>
      <c r="D28" s="55"/>
      <c r="E28" s="32" t="s">
        <v>48</v>
      </c>
      <c r="F28" s="55"/>
      <c r="G28" s="33"/>
      <c r="H28" s="34"/>
      <c r="I28" s="35"/>
      <c r="J28" s="35"/>
      <c r="P28" s="39">
        <f t="shared" si="8"/>
        <v>0</v>
      </c>
      <c r="Q28" s="45">
        <f t="shared" si="9"/>
        <v>0</v>
      </c>
    </row>
    <row r="29" spans="1:17" s="36" customFormat="1" x14ac:dyDescent="0.3">
      <c r="A29" s="30">
        <v>27</v>
      </c>
      <c r="B29" s="31">
        <v>46368</v>
      </c>
      <c r="C29" s="32" t="s">
        <v>43</v>
      </c>
      <c r="D29" s="55"/>
      <c r="E29" s="32" t="s">
        <v>35</v>
      </c>
      <c r="F29" s="55"/>
      <c r="G29" s="33"/>
      <c r="H29" s="34"/>
      <c r="I29" s="35"/>
      <c r="J29" s="35"/>
      <c r="P29" s="39">
        <f t="shared" si="8"/>
        <v>0</v>
      </c>
      <c r="Q29" s="45">
        <f t="shared" si="9"/>
        <v>0</v>
      </c>
    </row>
    <row r="30" spans="1:17" s="36" customFormat="1" x14ac:dyDescent="0.3">
      <c r="A30" s="30">
        <v>28</v>
      </c>
      <c r="B30" s="31">
        <v>46403</v>
      </c>
      <c r="C30" s="32" t="s">
        <v>47</v>
      </c>
      <c r="D30" s="55"/>
      <c r="E30" s="32" t="s">
        <v>43</v>
      </c>
      <c r="F30" s="55"/>
      <c r="G30" s="33"/>
      <c r="H30" s="34"/>
      <c r="I30" s="35"/>
      <c r="J30" s="35"/>
      <c r="P30" s="39">
        <f t="shared" si="8"/>
        <v>0</v>
      </c>
      <c r="Q30" s="45">
        <f t="shared" si="9"/>
        <v>0</v>
      </c>
    </row>
    <row r="31" spans="1:17" s="36" customFormat="1" x14ac:dyDescent="0.3">
      <c r="A31" s="30">
        <v>29</v>
      </c>
      <c r="B31" s="31">
        <v>46409</v>
      </c>
      <c r="C31" s="32" t="s">
        <v>48</v>
      </c>
      <c r="D31" s="55"/>
      <c r="E31" s="32" t="s">
        <v>43</v>
      </c>
      <c r="F31" s="55"/>
      <c r="G31" s="33"/>
      <c r="H31" s="34"/>
      <c r="I31" s="35"/>
      <c r="J31" s="35"/>
      <c r="P31" s="39">
        <f t="shared" si="8"/>
        <v>0</v>
      </c>
      <c r="Q31" s="45">
        <f t="shared" si="9"/>
        <v>0</v>
      </c>
    </row>
    <row r="32" spans="1:17" s="36" customFormat="1" x14ac:dyDescent="0.3">
      <c r="A32" s="30">
        <v>30</v>
      </c>
      <c r="B32" s="31">
        <v>46410</v>
      </c>
      <c r="C32" s="32" t="s">
        <v>47</v>
      </c>
      <c r="D32" s="55"/>
      <c r="E32" s="32" t="s">
        <v>49</v>
      </c>
      <c r="F32" s="55"/>
      <c r="G32" s="33"/>
      <c r="H32" s="34"/>
      <c r="I32" s="35"/>
      <c r="J32" s="35"/>
      <c r="P32" s="39">
        <f t="shared" si="8"/>
        <v>0</v>
      </c>
      <c r="Q32" s="45">
        <f t="shared" si="9"/>
        <v>0</v>
      </c>
    </row>
    <row r="33" spans="1:10" s="36" customFormat="1" x14ac:dyDescent="0.3">
      <c r="A33" s="30">
        <v>31</v>
      </c>
      <c r="B33" s="31">
        <v>46416</v>
      </c>
      <c r="C33" s="32" t="s">
        <v>33</v>
      </c>
      <c r="D33" s="55"/>
      <c r="E33" s="32" t="s">
        <v>43</v>
      </c>
      <c r="F33" s="55"/>
      <c r="G33" s="33"/>
      <c r="H33" s="34"/>
      <c r="I33" s="35"/>
      <c r="J33" s="35"/>
    </row>
    <row r="34" spans="1:10" s="36" customFormat="1" x14ac:dyDescent="0.3">
      <c r="A34" s="30">
        <v>32</v>
      </c>
      <c r="B34" s="31">
        <v>46417</v>
      </c>
      <c r="C34" s="32" t="s">
        <v>47</v>
      </c>
      <c r="D34" s="55"/>
      <c r="E34" s="32" t="s">
        <v>46</v>
      </c>
      <c r="F34" s="55"/>
      <c r="G34" s="33"/>
      <c r="H34" s="34"/>
      <c r="I34" s="35"/>
      <c r="J34" s="35"/>
    </row>
    <row r="35" spans="1:10" s="36" customFormat="1" x14ac:dyDescent="0.3">
      <c r="A35" s="30">
        <v>33</v>
      </c>
      <c r="B35" s="31">
        <v>46417</v>
      </c>
      <c r="C35" s="32" t="s">
        <v>48</v>
      </c>
      <c r="D35" s="55"/>
      <c r="E35" s="32" t="s">
        <v>49</v>
      </c>
      <c r="F35" s="55"/>
      <c r="G35" s="33"/>
      <c r="H35" s="34"/>
      <c r="I35" s="35"/>
      <c r="J35" s="35"/>
    </row>
    <row r="36" spans="1:10" s="36" customFormat="1" x14ac:dyDescent="0.3">
      <c r="A36" s="30">
        <v>34</v>
      </c>
      <c r="B36" s="31">
        <v>46418</v>
      </c>
      <c r="C36" s="32" t="s">
        <v>43</v>
      </c>
      <c r="D36" s="55"/>
      <c r="E36" s="32" t="s">
        <v>46</v>
      </c>
      <c r="F36" s="55"/>
      <c r="G36" s="33"/>
      <c r="H36" s="34"/>
      <c r="I36" s="35"/>
      <c r="J36" s="35"/>
    </row>
    <row r="37" spans="1:10" s="36" customFormat="1" x14ac:dyDescent="0.3">
      <c r="A37" s="30">
        <v>35</v>
      </c>
      <c r="B37" s="31">
        <v>46418</v>
      </c>
      <c r="C37" s="32" t="s">
        <v>35</v>
      </c>
      <c r="D37" s="55"/>
      <c r="E37" s="32" t="s">
        <v>43</v>
      </c>
      <c r="F37" s="55"/>
      <c r="G37" s="33"/>
      <c r="H37" s="34"/>
      <c r="I37" s="35"/>
      <c r="J37" s="35"/>
    </row>
    <row r="38" spans="1:10" s="36" customFormat="1" x14ac:dyDescent="0.3">
      <c r="A38" s="30">
        <v>36</v>
      </c>
      <c r="B38" s="31">
        <v>46423</v>
      </c>
      <c r="C38" s="32" t="s">
        <v>49</v>
      </c>
      <c r="D38" s="55"/>
      <c r="E38" s="32" t="s">
        <v>48</v>
      </c>
      <c r="F38" s="55"/>
      <c r="G38" s="33"/>
      <c r="H38" s="34"/>
      <c r="I38" s="35"/>
      <c r="J38" s="35"/>
    </row>
    <row r="39" spans="1:10" s="36" customFormat="1" x14ac:dyDescent="0.3">
      <c r="A39" s="30">
        <v>37</v>
      </c>
      <c r="B39" s="31">
        <v>46424</v>
      </c>
      <c r="C39" s="32" t="s">
        <v>43</v>
      </c>
      <c r="D39" s="55"/>
      <c r="E39" s="32" t="s">
        <v>47</v>
      </c>
      <c r="F39" s="55"/>
      <c r="G39" s="33"/>
      <c r="H39" s="34"/>
      <c r="I39" s="35"/>
      <c r="J39" s="35"/>
    </row>
    <row r="40" spans="1:10" x14ac:dyDescent="0.3">
      <c r="A40" s="30">
        <v>38</v>
      </c>
      <c r="B40" s="31">
        <v>46425</v>
      </c>
      <c r="C40" s="32" t="s">
        <v>46</v>
      </c>
      <c r="D40" s="55"/>
      <c r="E40" s="32" t="s">
        <v>49</v>
      </c>
      <c r="F40" s="55"/>
      <c r="G40" s="33"/>
      <c r="H40" s="24"/>
      <c r="I40" s="13"/>
      <c r="J40" s="13"/>
    </row>
    <row r="41" spans="1:10" x14ac:dyDescent="0.3">
      <c r="A41" s="30">
        <v>39</v>
      </c>
      <c r="B41" s="31">
        <v>46430</v>
      </c>
      <c r="C41" s="32" t="s">
        <v>49</v>
      </c>
      <c r="D41" s="55"/>
      <c r="E41" s="32" t="s">
        <v>43</v>
      </c>
      <c r="F41" s="55"/>
      <c r="G41" s="33"/>
      <c r="H41" s="24"/>
      <c r="I41" s="13"/>
      <c r="J41" s="13"/>
    </row>
    <row r="42" spans="1:10" x14ac:dyDescent="0.3">
      <c r="A42" s="30">
        <v>40</v>
      </c>
      <c r="B42" s="31">
        <v>46430</v>
      </c>
      <c r="C42" s="32" t="s">
        <v>35</v>
      </c>
      <c r="D42" s="55"/>
      <c r="E42" s="32" t="s">
        <v>48</v>
      </c>
      <c r="F42" s="55"/>
      <c r="G42" s="33"/>
      <c r="H42" s="24"/>
      <c r="I42" s="13"/>
      <c r="J42" s="13"/>
    </row>
    <row r="43" spans="1:10" x14ac:dyDescent="0.3">
      <c r="A43" s="30">
        <v>41</v>
      </c>
      <c r="B43" s="31">
        <v>46431</v>
      </c>
      <c r="C43" s="32" t="s">
        <v>48</v>
      </c>
      <c r="D43" s="55"/>
      <c r="E43" s="32" t="s">
        <v>47</v>
      </c>
      <c r="F43" s="55"/>
      <c r="G43" s="33"/>
      <c r="H43" s="24"/>
      <c r="I43" s="13"/>
      <c r="J43" s="13"/>
    </row>
    <row r="44" spans="1:10" x14ac:dyDescent="0.3">
      <c r="A44" s="30">
        <v>42</v>
      </c>
      <c r="B44" s="31">
        <v>46438</v>
      </c>
      <c r="C44" s="32" t="s">
        <v>35</v>
      </c>
      <c r="D44" s="55"/>
      <c r="E44" s="32" t="s">
        <v>33</v>
      </c>
      <c r="F44" s="55"/>
      <c r="G44" s="33"/>
      <c r="H44" s="24"/>
      <c r="I44" s="13"/>
      <c r="J44" s="13"/>
    </row>
    <row r="45" spans="1:10" ht="15" thickBot="1" x14ac:dyDescent="0.35">
      <c r="A45" s="25"/>
      <c r="B45" s="26"/>
      <c r="C45" s="25"/>
      <c r="D45" s="57"/>
      <c r="E45" s="25"/>
      <c r="F45" s="57"/>
      <c r="G45" s="27"/>
      <c r="H45" s="24"/>
      <c r="I45" s="13"/>
      <c r="J45" s="13"/>
    </row>
    <row r="46" spans="1:10" x14ac:dyDescent="0.3">
      <c r="A46" s="93" t="s">
        <v>41</v>
      </c>
      <c r="B46" s="94"/>
      <c r="C46" s="94"/>
      <c r="D46" s="94"/>
      <c r="E46" s="94"/>
      <c r="F46" s="94"/>
      <c r="G46" s="95"/>
      <c r="H46" s="24"/>
      <c r="I46" s="13"/>
      <c r="J46" s="13"/>
    </row>
    <row r="47" spans="1:10" x14ac:dyDescent="0.3">
      <c r="A47" s="30" t="s">
        <v>36</v>
      </c>
      <c r="B47" s="31">
        <v>46444</v>
      </c>
      <c r="C47" s="32"/>
      <c r="D47" s="55"/>
      <c r="E47" s="32"/>
      <c r="F47" s="55"/>
      <c r="G47" s="33"/>
      <c r="H47" s="24"/>
      <c r="I47" s="13"/>
      <c r="J47" s="13"/>
    </row>
    <row r="48" spans="1:10" x14ac:dyDescent="0.3">
      <c r="A48" s="30" t="s">
        <v>37</v>
      </c>
      <c r="B48" s="31">
        <v>46444</v>
      </c>
      <c r="C48" s="32"/>
      <c r="D48" s="55"/>
      <c r="E48" s="32"/>
      <c r="F48" s="55"/>
      <c r="G48" s="33"/>
      <c r="H48" s="24"/>
      <c r="I48" s="13"/>
      <c r="J48" s="13"/>
    </row>
    <row r="49" spans="1:10" x14ac:dyDescent="0.3">
      <c r="A49" s="30" t="s">
        <v>38</v>
      </c>
      <c r="B49" s="31">
        <v>46445</v>
      </c>
      <c r="C49" s="32"/>
      <c r="D49" s="55"/>
      <c r="E49" s="32"/>
      <c r="F49" s="55"/>
      <c r="G49" s="33"/>
      <c r="H49" s="24"/>
      <c r="I49" s="13"/>
      <c r="J49" s="13"/>
    </row>
    <row r="50" spans="1:10" x14ac:dyDescent="0.3">
      <c r="A50" s="67" t="s">
        <v>39</v>
      </c>
      <c r="B50" s="68">
        <v>46445</v>
      </c>
      <c r="C50" s="69"/>
      <c r="D50" s="70"/>
      <c r="E50" s="69"/>
      <c r="F50" s="70"/>
      <c r="G50" s="71"/>
      <c r="H50" s="24"/>
      <c r="I50" s="13"/>
      <c r="J50" s="13"/>
    </row>
    <row r="51" spans="1:10" ht="15" thickBot="1" x14ac:dyDescent="0.35">
      <c r="A51" s="48" t="s">
        <v>40</v>
      </c>
      <c r="B51" s="49">
        <v>46446</v>
      </c>
      <c r="C51" s="50"/>
      <c r="D51" s="56"/>
      <c r="E51" s="50"/>
      <c r="F51" s="56"/>
      <c r="G51" s="51"/>
      <c r="H51" s="24"/>
      <c r="I51" s="13"/>
      <c r="J51" s="13"/>
    </row>
    <row r="52" spans="1:10" x14ac:dyDescent="0.3">
      <c r="A52" s="96"/>
      <c r="B52" s="96"/>
      <c r="C52" s="96"/>
      <c r="D52" s="96"/>
      <c r="E52" s="96"/>
      <c r="F52" s="96"/>
      <c r="G52" s="96"/>
      <c r="H52" s="12"/>
      <c r="I52" s="13"/>
      <c r="J52" s="13"/>
    </row>
    <row r="53" spans="1:10" x14ac:dyDescent="0.3">
      <c r="A53" s="11"/>
      <c r="B53" s="14"/>
      <c r="C53" s="20"/>
      <c r="D53" s="11"/>
      <c r="E53" s="20"/>
      <c r="F53" s="11"/>
      <c r="G53" s="10"/>
      <c r="H53" s="12"/>
      <c r="I53" s="13"/>
      <c r="J53" s="13"/>
    </row>
    <row r="54" spans="1:10" x14ac:dyDescent="0.3">
      <c r="A54" s="11"/>
      <c r="B54" s="14"/>
      <c r="C54" s="20"/>
      <c r="D54" s="11"/>
      <c r="E54" s="20"/>
      <c r="F54" s="11"/>
      <c r="G54" s="10"/>
      <c r="H54" s="12"/>
      <c r="I54" s="13"/>
      <c r="J54" s="13"/>
    </row>
    <row r="55" spans="1:10" x14ac:dyDescent="0.3">
      <c r="A55" s="11"/>
      <c r="B55" s="14"/>
      <c r="C55" s="20"/>
      <c r="D55" s="11"/>
      <c r="E55" s="20"/>
      <c r="F55" s="11"/>
      <c r="G55" s="10"/>
      <c r="H55" s="12"/>
      <c r="I55" s="13"/>
      <c r="J55" s="13"/>
    </row>
    <row r="56" spans="1:10" x14ac:dyDescent="0.3">
      <c r="A56" s="11"/>
      <c r="B56" s="14"/>
      <c r="C56" s="20"/>
      <c r="D56" s="11"/>
      <c r="E56" s="20"/>
      <c r="F56" s="11"/>
      <c r="G56" s="10"/>
      <c r="H56" s="12"/>
      <c r="I56" s="13"/>
      <c r="J56" s="13"/>
    </row>
    <row r="57" spans="1:10" x14ac:dyDescent="0.3">
      <c r="A57" s="11"/>
      <c r="B57" s="14"/>
      <c r="C57" s="20"/>
      <c r="D57" s="11"/>
      <c r="E57" s="20"/>
      <c r="F57" s="11"/>
      <c r="G57" s="10"/>
      <c r="H57" s="12"/>
      <c r="I57" s="13"/>
      <c r="J57" s="13"/>
    </row>
    <row r="58" spans="1:10" x14ac:dyDescent="0.3">
      <c r="A58" s="11"/>
      <c r="B58" s="14"/>
      <c r="C58" s="20"/>
      <c r="D58" s="11"/>
      <c r="E58" s="20"/>
      <c r="F58" s="11"/>
      <c r="G58" s="10"/>
      <c r="H58" s="12"/>
      <c r="I58" s="13"/>
      <c r="J58" s="13"/>
    </row>
    <row r="59" spans="1:10" x14ac:dyDescent="0.3">
      <c r="A59" s="11"/>
      <c r="B59" s="14"/>
      <c r="C59" s="20"/>
      <c r="D59" s="11"/>
      <c r="E59" s="20"/>
      <c r="F59" s="11"/>
      <c r="G59" s="10"/>
      <c r="H59" s="12"/>
      <c r="I59" s="13"/>
      <c r="J59" s="13"/>
    </row>
    <row r="60" spans="1:10" x14ac:dyDescent="0.3">
      <c r="A60" s="11"/>
      <c r="B60" s="14"/>
      <c r="C60" s="20"/>
      <c r="D60" s="11"/>
      <c r="E60" s="20"/>
      <c r="F60" s="11"/>
      <c r="G60" s="10"/>
      <c r="H60" s="12"/>
      <c r="I60" s="13"/>
      <c r="J60" s="13"/>
    </row>
    <row r="61" spans="1:10" x14ac:dyDescent="0.3">
      <c r="A61" s="11"/>
      <c r="B61" s="14"/>
      <c r="C61" s="20"/>
      <c r="D61" s="11"/>
      <c r="E61" s="20"/>
      <c r="F61" s="11"/>
      <c r="G61" s="10"/>
      <c r="H61" s="12"/>
      <c r="I61" s="13"/>
      <c r="J61" s="13"/>
    </row>
    <row r="62" spans="1:10" x14ac:dyDescent="0.3">
      <c r="A62" s="11"/>
      <c r="B62" s="14"/>
      <c r="C62" s="20"/>
      <c r="D62" s="11"/>
      <c r="E62" s="20"/>
      <c r="F62" s="11"/>
      <c r="G62" s="10"/>
      <c r="H62" s="12"/>
      <c r="I62" s="13"/>
      <c r="J62" s="13"/>
    </row>
    <row r="63" spans="1:10" x14ac:dyDescent="0.3">
      <c r="A63" s="11"/>
      <c r="B63" s="14"/>
      <c r="C63" s="20"/>
      <c r="D63" s="11"/>
      <c r="E63" s="20"/>
      <c r="F63" s="11"/>
      <c r="G63" s="10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8"/>
      <c r="B65" s="15"/>
      <c r="C65" s="20"/>
      <c r="D65" s="11"/>
      <c r="E65" s="20"/>
      <c r="F65" s="11"/>
      <c r="G65" s="9"/>
      <c r="H65" s="12"/>
      <c r="I65" s="13"/>
      <c r="J65" s="13"/>
    </row>
    <row r="66" spans="1:10" x14ac:dyDescent="0.3">
      <c r="A66" s="8"/>
      <c r="B66" s="15"/>
      <c r="C66" s="21"/>
      <c r="D66" s="58"/>
      <c r="E66" s="21"/>
      <c r="F66" s="58"/>
      <c r="G66" s="9"/>
      <c r="H66" s="12"/>
      <c r="I66" s="13"/>
      <c r="J66" s="13"/>
    </row>
    <row r="67" spans="1:10" x14ac:dyDescent="0.3">
      <c r="A67" s="8"/>
      <c r="B67" s="15"/>
      <c r="C67" s="21"/>
      <c r="D67" s="58"/>
      <c r="E67" s="21"/>
      <c r="F67" s="58"/>
      <c r="G67" s="9"/>
      <c r="H67" s="12"/>
      <c r="I67" s="13"/>
      <c r="J67" s="13"/>
    </row>
    <row r="68" spans="1:10" x14ac:dyDescent="0.3">
      <c r="A68" s="8"/>
      <c r="B68" s="15"/>
      <c r="C68" s="21"/>
      <c r="D68" s="58"/>
      <c r="E68" s="21"/>
      <c r="F68" s="58"/>
      <c r="G68" s="9"/>
      <c r="H68" s="12"/>
      <c r="I68" s="13"/>
      <c r="J68" s="13"/>
    </row>
    <row r="69" spans="1:10" x14ac:dyDescent="0.3">
      <c r="A69" s="8"/>
      <c r="B69" s="15"/>
      <c r="C69" s="21"/>
      <c r="D69" s="58"/>
      <c r="E69" s="21"/>
      <c r="F69" s="58"/>
      <c r="G69" s="9"/>
      <c r="H69" s="12"/>
      <c r="I69" s="13"/>
      <c r="J69" s="13"/>
    </row>
    <row r="70" spans="1:10" x14ac:dyDescent="0.3">
      <c r="A70" s="8"/>
      <c r="B70" s="15"/>
      <c r="C70" s="21"/>
      <c r="D70" s="58"/>
      <c r="E70" s="21"/>
      <c r="F70" s="58"/>
      <c r="G70" s="9"/>
      <c r="H70" s="12"/>
      <c r="I70" s="13"/>
      <c r="J70" s="13"/>
    </row>
    <row r="71" spans="1:10" x14ac:dyDescent="0.3">
      <c r="A71" s="8"/>
      <c r="B71" s="15"/>
      <c r="C71" s="21"/>
      <c r="D71" s="58"/>
      <c r="E71" s="21"/>
      <c r="F71" s="58"/>
      <c r="G71" s="9"/>
      <c r="H71" s="12"/>
      <c r="I71" s="13"/>
      <c r="J71" s="13"/>
    </row>
    <row r="72" spans="1:10" x14ac:dyDescent="0.3">
      <c r="A72" s="8"/>
      <c r="B72" s="15"/>
      <c r="C72" s="21"/>
      <c r="D72" s="58"/>
      <c r="E72" s="21"/>
      <c r="F72" s="58"/>
      <c r="G72" s="9"/>
      <c r="H72" s="12"/>
      <c r="I72" s="13"/>
      <c r="J72" s="13"/>
    </row>
    <row r="73" spans="1:10" x14ac:dyDescent="0.3">
      <c r="C73" s="21"/>
      <c r="D73" s="58"/>
      <c r="E73" s="21"/>
      <c r="F73" s="58"/>
    </row>
    <row r="74" spans="1:10" x14ac:dyDescent="0.3">
      <c r="H74">
        <f>D75+F75</f>
        <v>26</v>
      </c>
    </row>
    <row r="75" spans="1:10" x14ac:dyDescent="0.3">
      <c r="D75" s="54">
        <f>SUM(D3:D73)</f>
        <v>16</v>
      </c>
      <c r="F75" s="54">
        <f>SUM(F3:F73)</f>
        <v>10</v>
      </c>
    </row>
  </sheetData>
  <sortState xmlns:xlrd2="http://schemas.microsoft.com/office/spreadsheetml/2017/richdata2" ref="A3:J32">
    <sortCondition ref="A3:A32"/>
  </sortState>
  <mergeCells count="4">
    <mergeCell ref="R1:S1"/>
    <mergeCell ref="R2:S2"/>
    <mergeCell ref="A46:G46"/>
    <mergeCell ref="A52:G52"/>
  </mergeCells>
  <pageMargins left="0.7" right="0.7" top="0.75" bottom="0.75" header="0.3" footer="0.3"/>
  <pageSetup orientation="portrait" verticalDpi="2" r:id="rId1"/>
  <webPublishItems count="2">
    <webPublishItem id="35" divId="MCHC 2026-27 Standings Worksheet - Atlantic East_copy_35" sourceType="range" sourceRef="A2:G51" destinationFile="C:\Users\casse\OneDrive\Webmaster\methockey\results\results-atlantic-east-include.html" autoRepublish="1"/>
    <webPublishItem id="30208" divId="MCHC 2026-27 Standings Worksheet - Atlantic East_copy_30208" sourceType="range" sourceRef="R1:U7" destinationFile="C:\Users\casse\OneDrive\Webmaster\methockey\results\current-season-summary-atlantic-east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2026-09-21T18:00:55Z</dcterms:modified>
</cp:coreProperties>
</file>