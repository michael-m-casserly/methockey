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093" documentId="13_ncr:1_{6D847147-14CC-4E2E-9F58-D0DC2A8D343C}" xr6:coauthVersionLast="47" xr6:coauthVersionMax="47" xr10:uidLastSave="{F520106D-F5E9-43BB-A0E8-53866B3970B3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<sst xmlns="http://schemas.openxmlformats.org/spreadsheetml/2006/main" count="123" uniqueCount="56">
  <si>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</si>
  <si>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</si>
  <si>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</si>
  <si>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</si>
  <si>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</si>
  <si>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</si>
  <si>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</si>
  <si>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</si>
  <si>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</si>
  <si>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</si>
  <si>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</si>
  <si>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</si>
  <si>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</si>
  <si>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</si>
  <si>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</si>
  <si>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</si>
  <si>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</si>
  <si>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</si>
  <si>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</si>
  <si>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</si>
  <si>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</si>
  <si>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</si>
  <si>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</si>
  <si>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</si>
  <si>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</si>
  <si>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</si>
  <si>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</si>
  <si>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</si>
  <si>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</si>
  <si>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</si>
  <si>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</si>
  <si>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</si>
  <si>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</si>
  <si>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</si>
  <si>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</si>
  <si>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</si>
  <si>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</si>
  <si>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</si>
  <si>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</si>
  <si>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</si>
  <si>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</si>
  <si>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</si>
  <si>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</si>
  <si>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</si>
  <si>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</si>
  <si>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</si>
  <si>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</si>
  <si>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</si>
  <si>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</si>
  <si>
    <t>Fairfield (Home) Wins</t>
  </si>
  <si>
    <t>Fordham (Away) Wins</t>
  </si>
  <si>
    <t>*</t>
  </si>
  <si>
    <t>Fordham in OT/SO</t>
  </si>
  <si>
    <t>STAC (Home) Wins</t>
  </si>
  <si>
    <t>Sacred Heart in OT/SO</t>
  </si>
  <si>
    <t>Rutgers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</si>
</sst>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</row>
    <row r="3" spans="1:16" ht="18" x14ac:dyDescent="0.3">
      <c r="A3" s="9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91" t="s">
        <v>10</v>
      </c>
      <c r="N3" s="92"/>
      <c r="O3" s="92"/>
      <c r="P3" s="92"/>
    </row>
    <row r="4" spans="1:16" ht="18" customHeight="1" x14ac:dyDescent="0.3">
      <c r="A4" s="96"/>
      <c r="B4" s="49">
        <v>1</v>
      </c>
      <c r="C4" s="51" t="s">
        <v>47</v>
      </c>
      <c r="D4" s="23">
        <v>4</v>
      </c>
      <c r="E4" s="23">
        <v>3</v>
      </c>
      <c r="F4" s="23">
        <v>1</v>
      </c>
      <c r="G4" s="23">
        <v>0</v>
      </c>
      <c r="H4" s="50">
        <v>6</v>
      </c>
      <c r="I4" s="23">
        <v>21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96"/>
      <c r="B5" s="49">
        <v>2</v>
      </c>
      <c r="C5" s="51" t="s">
        <v>44</v>
      </c>
      <c r="D5" s="23">
        <v>2</v>
      </c>
      <c r="E5" s="23">
        <v>1</v>
      </c>
      <c r="F5" s="23">
        <v>0</v>
      </c>
      <c r="G5" s="23">
        <v>1</v>
      </c>
      <c r="H5" s="50">
        <v>3</v>
      </c>
      <c r="I5" s="23">
        <v>9</v>
      </c>
      <c r="J5" s="52">
        <v>8</v>
      </c>
      <c r="K5" s="1"/>
      <c r="M5" s="4">
        <v>2</v>
      </c>
      <c r="N5" t="s">
        <v>12</v>
      </c>
    </row>
    <row r="6" spans="1:16" ht="18" customHeight="1" x14ac:dyDescent="0.3">
      <c r="A6" s="96"/>
      <c r="B6" s="49">
        <v>3</v>
      </c>
      <c r="C6" s="51" t="s">
        <v>32</v>
      </c>
      <c r="D6" s="23">
        <v>1</v>
      </c>
      <c r="E6" s="23">
        <v>1</v>
      </c>
      <c r="F6" s="23">
        <v>0</v>
      </c>
      <c r="G6" s="23">
        <v>0</v>
      </c>
      <c r="H6" s="50">
        <v>2</v>
      </c>
      <c r="I6" s="23">
        <v>9</v>
      </c>
      <c r="J6" s="52">
        <v>5</v>
      </c>
      <c r="K6" s="1"/>
      <c r="M6" s="4">
        <v>3</v>
      </c>
      <c r="N6" t="s">
        <v>13</v>
      </c>
    </row>
    <row r="7" spans="1:16" ht="18" customHeight="1" x14ac:dyDescent="0.3">
      <c r="A7" s="96"/>
      <c r="B7" s="49">
        <v>4</v>
      </c>
      <c r="C7" s="51" t="s">
        <v>45</v>
      </c>
      <c r="D7" s="23">
        <v>2</v>
      </c>
      <c r="E7" s="23">
        <v>1</v>
      </c>
      <c r="F7" s="23">
        <v>1</v>
      </c>
      <c r="G7" s="23">
        <v>0</v>
      </c>
      <c r="H7" s="50">
        <v>2</v>
      </c>
      <c r="I7" s="23">
        <v>8</v>
      </c>
      <c r="J7" s="52">
        <v>8</v>
      </c>
      <c r="K7" s="1"/>
      <c r="M7" s="4">
        <v>4</v>
      </c>
      <c r="N7" t="s">
        <v>15</v>
      </c>
    </row>
    <row r="8" spans="1:16" ht="18" customHeight="1" x14ac:dyDescent="0.3">
      <c r="A8" s="96"/>
      <c r="B8" s="49">
        <v>5</v>
      </c>
      <c r="C8" s="51" t="s">
        <v>48</v>
      </c>
      <c r="D8" s="23">
        <v>3</v>
      </c>
      <c r="E8" s="23">
        <v>1</v>
      </c>
      <c r="F8" s="23">
        <v>2</v>
      </c>
      <c r="G8" s="23">
        <v>0</v>
      </c>
      <c r="H8" s="50">
        <v>2</v>
      </c>
      <c r="I8" s="23">
        <v>13</v>
      </c>
      <c r="J8" s="52">
        <v>18</v>
      </c>
      <c r="K8" s="1"/>
      <c r="M8" s="4">
        <v>5</v>
      </c>
      <c r="N8" t="s">
        <v>17</v>
      </c>
    </row>
    <row r="9" spans="1:16" ht="18" customHeight="1" thickBot="1" x14ac:dyDescent="0.35">
      <c r="A9" s="96"/>
      <c r="B9" s="49">
        <v>6</v>
      </c>
      <c r="C9" s="51" t="s">
        <v>46</v>
      </c>
      <c r="D9" s="23">
        <v>2</v>
      </c>
      <c r="E9" s="23">
        <v>0</v>
      </c>
      <c r="F9" s="23">
        <v>1</v>
      </c>
      <c r="G9" s="23">
        <v>1</v>
      </c>
      <c r="H9" s="50">
        <v>1</v>
      </c>
      <c r="I9" s="23">
        <v>9</v>
      </c>
      <c r="J9" s="52">
        <v>13</v>
      </c>
      <c r="K9" s="1"/>
      <c r="M9" t="s">
        <v>14</v>
      </c>
    </row>
    <row r="10" spans="1:16" ht="18" hidden="1" customHeight="1" thickBot="1" x14ac:dyDescent="0.35">
      <c r="A10" s="9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5">
      <c r="A11" s="96"/>
      <c r="B11" s="49"/>
      <c r="C11" s="104"/>
      <c r="D11" s="105"/>
      <c r="E11" s="105"/>
      <c r="F11" s="105"/>
      <c r="G11" s="105"/>
      <c r="H11" s="105"/>
      <c r="I11" s="105"/>
      <c r="J11" s="106"/>
      <c r="K11" s="1"/>
    </row>
    <row r="12" spans="1:16" ht="16.8" thickTop="1" thickBot="1" x14ac:dyDescent="0.35">
      <c r="A12" s="96"/>
      <c r="B12" s="49"/>
      <c r="C12" s="107"/>
      <c r="D12" s="108"/>
      <c r="E12" s="108"/>
      <c r="F12" s="108"/>
      <c r="G12" s="108"/>
      <c r="H12" s="108"/>
      <c r="I12" s="108"/>
      <c r="J12" s="109"/>
      <c r="K12" s="1"/>
      <c r="M12" s="93" t="s">
        <v>16</v>
      </c>
      <c r="N12" s="93"/>
      <c r="O12" s="93"/>
      <c r="P12" s="5">
        <v>9</v>
      </c>
    </row>
    <row r="13" spans="1:16" ht="15.6" x14ac:dyDescent="0.3">
      <c r="A13" s="1"/>
      <c r="B13" s="48"/>
      <c r="C13" s="99" t="s">
        <v>33</v>
      </c>
      <c r="D13" s="100"/>
      <c r="E13" s="100"/>
      <c r="F13" s="100"/>
      <c r="G13" s="97" cm="1">
        <f t="array" aca="1" ref="G13" ca="1">LastModified()</f>
        <v>46320.843842592592</v>
      </c>
      <c r="H13" s="97"/>
      <c r="I13" s="97"/>
      <c r="J13" s="98"/>
      <c r="K13" s="1"/>
      <c r="M13" s="32"/>
      <c r="N13" s="32"/>
      <c r="O13" s="32"/>
    </row>
    <row r="14" spans="1:16" ht="52.95" customHeight="1" thickBot="1" x14ac:dyDescent="0.35">
      <c r="B14" s="33"/>
      <c r="C14" s="101" t="s">
        <v>43</v>
      </c>
      <c r="D14" s="102"/>
      <c r="E14" s="102"/>
      <c r="F14" s="102"/>
      <c r="G14" s="102"/>
      <c r="H14" s="102"/>
      <c r="I14" s="102"/>
      <c r="J14" s="103"/>
    </row>
    <row r="15" spans="1:16" x14ac:dyDescent="0.3">
      <c r="G15" s="94" t="s">
        <v>18</v>
      </c>
      <c r="H15" s="94"/>
      <c r="I15" s="7">
        <f>SUM(I4:I12)</f>
        <v>69</v>
      </c>
      <c r="J15" s="7">
        <f>SUM(J4:J12)</f>
        <v>69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topLeftCell="A2" zoomScaleNormal="100" workbookViewId="0">
      <selection activeCell="A9" sqref="A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81" t="s">
        <v>26</v>
      </c>
      <c r="S1" s="82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83" t="s">
        <v>27</v>
      </c>
      <c r="S2" s="84"/>
      <c r="T2" s="64">
        <f>SUM(T3:T7)</f>
        <v>7</v>
      </c>
      <c r="U2" s="65"/>
    </row>
    <row r="3" spans="1:21" s="36" customFormat="1" ht="15.6" thickTop="1" thickBot="1" x14ac:dyDescent="0.35">
      <c r="A3" s="66">
        <v>1</v>
      </c>
      <c r="B3" s="67">
        <v>46297</v>
      </c>
      <c r="C3" s="68" t="s">
        <v>48</v>
      </c>
      <c r="D3" s="69">
        <v>3</v>
      </c>
      <c r="E3" s="68" t="s">
        <v>44</v>
      </c>
      <c r="F3" s="69">
        <v>5</v>
      </c>
      <c r="G3" s="70"/>
      <c r="H3" s="34" t="s">
        <v>49</v>
      </c>
      <c r="I3" s="35">
        <v>1</v>
      </c>
      <c r="J3" s="35"/>
      <c r="M3" s="37" t="s">
        <v>41</v>
      </c>
      <c r="N3" s="38">
        <v>3</v>
      </c>
      <c r="P3" s="39">
        <f>D3-F3</f>
        <v>-2</v>
      </c>
      <c r="Q3" s="36">
        <f>ABS(P3)</f>
        <v>2</v>
      </c>
      <c r="R3" s="40">
        <v>1</v>
      </c>
      <c r="S3" s="36" t="s">
        <v>25</v>
      </c>
      <c r="T3" s="36">
        <f>COUNTIF($Q$3:$Q$32,R3)</f>
        <v>4</v>
      </c>
      <c r="U3" s="41">
        <f>IF($T$2&gt;0, T3/$T$2, 0)</f>
        <v>0.5714285714285714</v>
      </c>
    </row>
    <row r="4" spans="1:21" s="36" customFormat="1" ht="15.6" thickTop="1" thickBot="1" x14ac:dyDescent="0.35">
      <c r="A4" s="66">
        <v>2</v>
      </c>
      <c r="B4" s="67">
        <v>46298</v>
      </c>
      <c r="C4" s="68" t="s">
        <v>47</v>
      </c>
      <c r="D4" s="69">
        <v>4</v>
      </c>
      <c r="E4" s="68" t="s">
        <v>45</v>
      </c>
      <c r="F4" s="69">
        <v>3</v>
      </c>
      <c r="G4" s="70"/>
      <c r="H4" s="34" t="s">
        <v>50</v>
      </c>
      <c r="I4" s="35">
        <v>4</v>
      </c>
      <c r="J4" s="35"/>
      <c r="M4" s="38" t="s">
        <v>28</v>
      </c>
      <c r="N4" s="38">
        <v>4</v>
      </c>
      <c r="P4" s="39">
        <f t="shared" ref="P4:P7" si="0">D4-F4</f>
        <v>1</v>
      </c>
      <c r="Q4" s="36">
        <f t="shared" ref="Q4:Q7" si="1">ABS(P4)</f>
        <v>1</v>
      </c>
      <c r="R4" s="40">
        <v>2</v>
      </c>
      <c r="S4" s="36" t="s">
        <v>25</v>
      </c>
      <c r="T4" s="36">
        <f>COUNTIF($Q$3:$Q$32,R4)</f>
        <v>1</v>
      </c>
      <c r="U4" s="41">
        <f>IF($T$2&gt;0, T4/$T$2, 0)</f>
        <v>0.14285714285714285</v>
      </c>
    </row>
    <row r="5" spans="1:21" s="36" customFormat="1" ht="15.6" thickTop="1" thickBot="1" x14ac:dyDescent="0.35">
      <c r="A5" s="66">
        <v>4</v>
      </c>
      <c r="B5" s="67">
        <v>46306</v>
      </c>
      <c r="C5" s="68" t="s">
        <v>46</v>
      </c>
      <c r="D5" s="69">
        <v>4</v>
      </c>
      <c r="E5" s="68" t="s">
        <v>47</v>
      </c>
      <c r="F5" s="69">
        <v>5</v>
      </c>
      <c r="G5" s="70" t="s">
        <v>51</v>
      </c>
      <c r="H5" s="34" t="s">
        <v>52</v>
      </c>
      <c r="I5" s="35">
        <v>2</v>
      </c>
      <c r="J5" s="35"/>
      <c r="M5" s="38" t="s">
        <v>32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1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46318</v>
      </c>
      <c r="C6" s="68" t="s">
        <v>48</v>
      </c>
      <c r="D6" s="69">
        <v>5</v>
      </c>
      <c r="E6" s="68" t="s">
        <v>32</v>
      </c>
      <c r="F6" s="69">
        <v>9</v>
      </c>
      <c r="G6" s="70"/>
      <c r="H6" s="34" t="s">
        <v>53</v>
      </c>
      <c r="I6" s="35">
        <v>5</v>
      </c>
      <c r="J6" s="35"/>
      <c r="M6" s="38" t="s">
        <v>42</v>
      </c>
      <c r="N6" s="38">
        <v>6</v>
      </c>
      <c r="P6" s="39">
        <f t="shared" si="0"/>
        <v>-4</v>
      </c>
      <c r="Q6" s="36">
        <f t="shared" si="1"/>
        <v>4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46318</v>
      </c>
      <c r="C7" s="68" t="s">
        <v>45</v>
      </c>
      <c r="D7" s="69">
        <v>5</v>
      </c>
      <c r="E7" s="68" t="s">
        <v>44</v>
      </c>
      <c r="F7" s="69">
        <v>4</v>
      </c>
      <c r="G7" s="70" t="s">
        <v>51</v>
      </c>
      <c r="H7" s="34" t="s">
        <v>54</v>
      </c>
      <c r="I7" s="35">
        <v>1</v>
      </c>
      <c r="J7" s="35"/>
      <c r="M7" s="38"/>
      <c r="N7" s="38"/>
      <c r="P7" s="39">
        <f t="shared" si="0"/>
        <v>1</v>
      </c>
      <c r="Q7" s="36">
        <f t="shared" si="1"/>
        <v>1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7</v>
      </c>
      <c r="B8" s="67">
        <v>46318</v>
      </c>
      <c r="C8" s="68" t="s">
        <v>47</v>
      </c>
      <c r="D8" s="69">
        <v>8</v>
      </c>
      <c r="E8" s="68" t="s">
        <v>46</v>
      </c>
      <c r="F8" s="69">
        <v>5</v>
      </c>
      <c r="G8" s="70"/>
      <c r="H8" s="34" t="s">
        <v>50</v>
      </c>
      <c r="I8" s="35">
        <v>6</v>
      </c>
      <c r="J8" s="35"/>
      <c r="M8" s="38"/>
      <c r="N8" s="38"/>
      <c r="P8" s="39">
        <f t="shared" ref="P8:P29" si="2">D8-F8</f>
        <v>3</v>
      </c>
      <c r="Q8" s="45">
        <f t="shared" ref="Q8:Q29" si="3">ABS(P8)</f>
        <v>3</v>
      </c>
      <c r="U8" s="46"/>
    </row>
    <row r="9" spans="1:21" s="36" customFormat="1" ht="15.6" thickTop="1" thickBot="1" x14ac:dyDescent="0.35">
      <c r="A9" s="66">
        <v>9</v>
      </c>
      <c r="B9" s="67">
        <v>46320</v>
      </c>
      <c r="C9" s="68" t="s">
        <v>48</v>
      </c>
      <c r="D9" s="69">
        <v>5</v>
      </c>
      <c r="E9" s="68" t="s">
        <v>47</v>
      </c>
      <c r="F9" s="69">
        <v>4</v>
      </c>
      <c r="G9" s="70"/>
      <c r="H9" s="34" t="s">
        <v>55</v>
      </c>
      <c r="I9" s="35">
        <v>2</v>
      </c>
      <c r="J9" s="35"/>
      <c r="M9" s="38"/>
      <c r="N9" s="38"/>
      <c r="P9" s="39">
        <f t="shared" si="2"/>
        <v>1</v>
      </c>
      <c r="Q9" s="45">
        <f t="shared" si="3"/>
        <v>1</v>
      </c>
      <c r="U9" s="46"/>
    </row>
    <row r="10" spans="1:21" s="36" customFormat="1" ht="15.6" thickTop="1" thickBot="1" x14ac:dyDescent="0.35">
      <c r="A10" s="66">
        <v>10</v>
      </c>
      <c r="B10" s="67">
        <v>46327</v>
      </c>
      <c r="C10" s="68" t="s">
        <v>32</v>
      </c>
      <c r="D10" s="69"/>
      <c r="E10" s="68" t="s">
        <v>47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11</v>
      </c>
      <c r="B11" s="67">
        <v>46327</v>
      </c>
      <c r="C11" s="68" t="s">
        <v>46</v>
      </c>
      <c r="D11" s="69"/>
      <c r="E11" s="68" t="s">
        <v>45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12</v>
      </c>
      <c r="B12" s="67">
        <v>46333</v>
      </c>
      <c r="C12" s="68" t="s">
        <v>44</v>
      </c>
      <c r="D12" s="69"/>
      <c r="E12" s="68" t="s">
        <v>46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13</v>
      </c>
      <c r="B13" s="67">
        <v>46334</v>
      </c>
      <c r="C13" s="68" t="s">
        <v>45</v>
      </c>
      <c r="D13" s="69"/>
      <c r="E13" s="68" t="s">
        <v>47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14</v>
      </c>
      <c r="B14" s="67">
        <v>46334</v>
      </c>
      <c r="C14" s="68" t="s">
        <v>44</v>
      </c>
      <c r="D14" s="69"/>
      <c r="E14" s="68" t="s">
        <v>48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15</v>
      </c>
      <c r="B15" s="67">
        <v>46339</v>
      </c>
      <c r="C15" s="68" t="s">
        <v>44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16</v>
      </c>
      <c r="B16" s="67">
        <v>46339</v>
      </c>
      <c r="C16" s="68" t="s">
        <v>48</v>
      </c>
      <c r="D16" s="69"/>
      <c r="E16" s="68" t="s">
        <v>46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3</v>
      </c>
      <c r="B17" s="67">
        <v>46348</v>
      </c>
      <c r="C17" s="68" t="s">
        <v>45</v>
      </c>
      <c r="D17" s="69"/>
      <c r="E17" s="68" t="s">
        <v>46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17</v>
      </c>
      <c r="B18" s="67">
        <v>46360</v>
      </c>
      <c r="C18" s="68" t="s">
        <v>32</v>
      </c>
      <c r="D18" s="69"/>
      <c r="E18" s="68" t="s">
        <v>45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18</v>
      </c>
      <c r="B19" s="67">
        <v>46362</v>
      </c>
      <c r="C19" s="68" t="s">
        <v>48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19</v>
      </c>
      <c r="B20" s="67">
        <v>46367</v>
      </c>
      <c r="C20" s="68" t="s">
        <v>32</v>
      </c>
      <c r="D20" s="69"/>
      <c r="E20" s="68" t="s">
        <v>44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20</v>
      </c>
      <c r="B21" s="67">
        <v>46417</v>
      </c>
      <c r="C21" s="68" t="s">
        <v>32</v>
      </c>
      <c r="D21" s="69"/>
      <c r="E21" s="68" t="s">
        <v>48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21</v>
      </c>
      <c r="B22" s="67">
        <v>46417</v>
      </c>
      <c r="C22" s="68" t="s">
        <v>47</v>
      </c>
      <c r="D22" s="69"/>
      <c r="E22" s="68" t="s">
        <v>44</v>
      </c>
      <c r="F22" s="69"/>
      <c r="G22" s="70"/>
      <c r="H22" s="34"/>
      <c r="I22" s="35"/>
      <c r="J22" s="35"/>
      <c r="N22" s="36">
        <f>LOOKUP(C23,M1:M4,N1:N4)</f>
        <v>4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22</v>
      </c>
      <c r="B23" s="67">
        <v>46418</v>
      </c>
      <c r="C23" s="68" t="s">
        <v>46</v>
      </c>
      <c r="D23" s="69"/>
      <c r="E23" s="68" t="s">
        <v>32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23</v>
      </c>
      <c r="B24" s="67">
        <v>46418</v>
      </c>
      <c r="C24" s="68" t="s">
        <v>44</v>
      </c>
      <c r="D24" s="69"/>
      <c r="E24" s="68" t="s">
        <v>45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24</v>
      </c>
      <c r="B25" s="67">
        <v>46424</v>
      </c>
      <c r="C25" s="68" t="s">
        <v>47</v>
      </c>
      <c r="D25" s="69"/>
      <c r="E25" s="68" t="s">
        <v>48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25</v>
      </c>
      <c r="B26" s="67">
        <v>46424</v>
      </c>
      <c r="C26" s="68" t="s">
        <v>45</v>
      </c>
      <c r="D26" s="69"/>
      <c r="E26" s="68" t="s">
        <v>32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26</v>
      </c>
      <c r="B27" s="67">
        <v>46424</v>
      </c>
      <c r="C27" s="68" t="s">
        <v>46</v>
      </c>
      <c r="D27" s="69"/>
      <c r="E27" s="68" t="s">
        <v>44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27</v>
      </c>
      <c r="B28" s="67">
        <v>46425</v>
      </c>
      <c r="C28" s="68" t="s">
        <v>46</v>
      </c>
      <c r="D28" s="69"/>
      <c r="E28" s="68" t="s">
        <v>48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28</v>
      </c>
      <c r="B29" s="67">
        <v>46425</v>
      </c>
      <c r="C29" s="68" t="s">
        <v>44</v>
      </c>
      <c r="D29" s="69"/>
      <c r="E29" s="68" t="s">
        <v>32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8</v>
      </c>
      <c r="B30" s="67">
        <v>46430</v>
      </c>
      <c r="C30" s="68" t="s">
        <v>32</v>
      </c>
      <c r="D30" s="69"/>
      <c r="E30" s="68" t="s">
        <v>46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88"/>
      <c r="B33" s="89"/>
      <c r="C33" s="89"/>
      <c r="D33" s="89"/>
      <c r="E33" s="89"/>
      <c r="F33" s="89"/>
      <c r="G33" s="90"/>
      <c r="H33" s="34"/>
      <c r="I33" s="35"/>
      <c r="J33" s="35"/>
    </row>
    <row r="34" spans="1:10" s="36" customFormat="1" ht="15" thickBot="1" x14ac:dyDescent="0.35">
      <c r="A34" s="85" t="s">
        <v>38</v>
      </c>
      <c r="B34" s="86"/>
      <c r="C34" s="86"/>
      <c r="D34" s="86"/>
      <c r="E34" s="86"/>
      <c r="F34" s="86"/>
      <c r="G34" s="87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69</v>
      </c>
    </row>
    <row r="71" spans="1:10" x14ac:dyDescent="0.3">
      <c r="D71" s="53">
        <f>SUM(D3:D69)</f>
        <v>34</v>
      </c>
      <c r="F71" s="53">
        <f>SUM(F3:F69)</f>
        <v>35</v>
      </c>
    </row>
  </sheetData>
  <sortState xmlns:xlrd2="http://schemas.microsoft.com/office/spreadsheetml/2017/richdata2" ref="A5:G17">
    <sortCondition ref="B5:B17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2026-10-26T00:15:22Z</dcterms:modified>
</cp:coreProperties>
</file>