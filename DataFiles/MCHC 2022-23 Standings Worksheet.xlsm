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443" documentId="8_{970098D5-2AA6-4EE8-9507-3C4E4A614472}" xr6:coauthVersionLast="47" xr6:coauthVersionMax="47" xr10:uidLastSave="{D394302B-687B-4C49-BA94-5D1578829A7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<sst xmlns="http://schemas.openxmlformats.org/spreadsheetml/2006/main" count="202" uniqueCount="64">
  <si>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</si>
  <si>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</si>
  <si>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</si>
  <si>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</si>
  <si>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</si>
  <si>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</si>
  <si>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</si>
  <si>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</si>
  <si>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</si>
  <si>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</si>
  <si>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</si>
  <si>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</si>
  <si>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</si>
  <si>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</si>
  <si>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</si>
  <si>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</si>
  <si>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</si>
  <si>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</si>
  <si>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</si>
  <si>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</si>
  <si>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</si>
  <si>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</si>
  <si>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</si>
  <si>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</si>
  <si>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</si>
  <si>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</si>
  <si>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</si>
  <si>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</si>
  <si>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</si>
  <si>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</si>
  <si>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</si>
  <si>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</si>
  <si>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</si>
  <si>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</si>
  <si>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</si>
  <si>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</si>
  <si>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</si>
  <si>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</si>
  <si>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</si>
  <si>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</si>
  <si>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</si>
  <si>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</si>
  <si>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</si>
  <si>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</si>
  <si>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</si>
  <si>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</si>
  <si>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</si>
  <si>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</si>
  <si>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</si>
  <si>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</si>
  <si>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</si>
  <si>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</si>
  <si>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</si>
  <si>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</si>
  <si>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</si>
  <si>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</si>
  <si>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</si>
  <si>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</si>
  <si>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</si>
  <si>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</si>
  <si>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</si>
  <si>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</si>
  <si>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</si>
  <si>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WestConn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</si>
</sst>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4" sqref="U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6</v>
      </c>
      <c r="E4" s="28">
        <v>5</v>
      </c>
      <c r="F4" s="28">
        <v>1</v>
      </c>
      <c r="G4" s="28">
        <v>0</v>
      </c>
      <c r="H4" s="74">
        <v>10</v>
      </c>
      <c r="I4" s="28">
        <v>37</v>
      </c>
      <c r="J4" s="75">
        <v>17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7</v>
      </c>
      <c r="E5" s="28">
        <v>4</v>
      </c>
      <c r="F5" s="28">
        <v>2</v>
      </c>
      <c r="G5" s="28">
        <v>1</v>
      </c>
      <c r="H5" s="74">
        <v>9</v>
      </c>
      <c r="I5" s="28">
        <v>17</v>
      </c>
      <c r="J5" s="75">
        <v>21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47</v>
      </c>
      <c r="D6" s="28">
        <v>7</v>
      </c>
      <c r="E6" s="28">
        <v>4</v>
      </c>
      <c r="F6" s="28">
        <v>3</v>
      </c>
      <c r="G6" s="28">
        <v>0</v>
      </c>
      <c r="H6" s="74">
        <v>8</v>
      </c>
      <c r="I6" s="28">
        <v>28</v>
      </c>
      <c r="J6" s="75">
        <v>36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6</v>
      </c>
      <c r="E7" s="28">
        <v>3</v>
      </c>
      <c r="F7" s="28">
        <v>2</v>
      </c>
      <c r="G7" s="28">
        <v>1</v>
      </c>
      <c r="H7" s="74">
        <v>7</v>
      </c>
      <c r="I7" s="28">
        <v>29</v>
      </c>
      <c r="J7" s="75">
        <v>15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6</v>
      </c>
      <c r="E8" s="28">
        <v>2</v>
      </c>
      <c r="F8" s="28">
        <v>4</v>
      </c>
      <c r="G8" s="28">
        <v>0</v>
      </c>
      <c r="H8" s="74">
        <v>4</v>
      </c>
      <c r="I8" s="28">
        <v>20</v>
      </c>
      <c r="J8" s="75">
        <v>20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6</v>
      </c>
      <c r="E9" s="28">
        <v>1</v>
      </c>
      <c r="F9" s="28">
        <v>5</v>
      </c>
      <c r="G9" s="28">
        <v>0</v>
      </c>
      <c r="H9" s="74">
        <v>2</v>
      </c>
      <c r="I9" s="28">
        <v>17</v>
      </c>
      <c r="J9" s="75">
        <v>39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22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44872.852337962962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148</v>
      </c>
      <c r="J15" s="7">
        <f>SUM(J4:J12)</f>
        <v>148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22" sqref="A2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19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7</v>
      </c>
      <c r="U3" s="56">
        <f>IF($T$2&gt;0, T3/$T$2, 0)</f>
        <v>0.36842105263157893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0.10526315789473684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5</v>
      </c>
      <c r="U5" s="56">
        <f>IF($T$2&gt;0, T5/$T$2, 0)</f>
        <v>0.26315789473684209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5</v>
      </c>
      <c r="U7" s="59">
        <f>IF($T$2&gt;0, T7/$T$2, 0)</f>
        <v>0.26315789473684209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4</v>
      </c>
      <c r="E20" s="46" t="s">
        <v>49</v>
      </c>
      <c r="F20" s="47">
        <v>11</v>
      </c>
      <c r="G20" s="48"/>
      <c r="H20" s="49" t="s">
        <v>63</v>
      </c>
      <c r="I20" s="50">
        <v>1</v>
      </c>
      <c r="J20" s="50">
        <v>7</v>
      </c>
      <c r="P20" s="54">
        <f t="shared" si="2"/>
        <v>-7</v>
      </c>
      <c r="Q20" s="60">
        <f t="shared" si="3"/>
        <v>7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58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56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148</v>
      </c>
    </row>
    <row r="104" spans="1:10" x14ac:dyDescent="0.3">
      <c r="D104" s="1">
        <f>SUM(D3:D102)</f>
        <v>59</v>
      </c>
      <c r="F104" s="1">
        <f>SUM(F3:F102)</f>
        <v>89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2022-11-08T01:32:29Z</dcterms:modified>
</cp:coreProperties>
</file>