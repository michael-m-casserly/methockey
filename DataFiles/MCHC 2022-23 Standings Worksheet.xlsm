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3407" documentId="8_{970098D5-2AA6-4EE8-9507-3C4E4A614472}" xr6:coauthVersionLast="47" xr6:coauthVersionMax="47" xr10:uidLastSave="{CED3F141-D68E-46DF-B68B-7313732F1EAE}"/>
  <bookViews>
    <workbookView xWindow="28680" yWindow="-120" windowWidth="29040" windowHeight="17520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58" i="1"/>
  <c r="Q58" i="1"/>
  <c r="P65" i="1"/>
  <c r="P63" i="1"/>
  <c r="P60" i="1"/>
  <c r="P57" i="1"/>
  <c r="P56" i="1"/>
  <c r="P55" i="1"/>
  <c r="P64" i="1"/>
  <c r="Q64" i="1"/>
  <c r="P54" i="1"/>
  <c r="Q54" i="1"/>
  <c r="P61" i="1"/>
  <c r="Q61" i="1"/>
  <c r="P59" i="1"/>
  <c r="Q59" i="1"/>
  <c r="P53" i="1"/>
  <c r="Q53" i="1"/>
  <c r="P62" i="1"/>
  <c r="Q62" i="1"/>
  <c r="P52" i="1"/>
  <c r="Q52" i="1"/>
  <c r="P51" i="1"/>
  <c r="Q51" i="1"/>
  <c r="P50" i="1"/>
  <c r="Q50" i="1"/>
  <c r="P49" i="1"/>
  <c r="Q49" i="1" s="1"/>
  <c r="P48" i="1"/>
  <c r="Q48" i="1" s="1"/>
  <c r="P47" i="1"/>
  <c r="Q47" i="1" s="1"/>
  <c r="P46" i="1"/>
  <c r="Q46" i="1"/>
  <c r="P43" i="1"/>
  <c r="Q43" i="1"/>
  <c r="P45" i="1"/>
  <c r="Q45" i="1"/>
  <c r="P42" i="1"/>
  <c r="Q42" i="1"/>
  <c r="P41" i="1"/>
  <c r="Q41" i="1"/>
  <c r="P40" i="1"/>
  <c r="Q40" i="1"/>
  <c r="P39" i="1"/>
  <c r="Q39" i="1"/>
  <c r="P38" i="1"/>
  <c r="Q38" i="1"/>
  <c r="P37" i="1"/>
  <c r="Q37" i="1"/>
  <c r="P35" i="1"/>
  <c r="Q35" i="1"/>
  <c r="P34" i="1"/>
  <c r="Q34" i="1"/>
  <c r="P33" i="1"/>
  <c r="Q33" i="1"/>
  <c r="P32" i="1"/>
  <c r="Q32" i="1"/>
  <c r="P30" i="1"/>
  <c r="Q30" i="1"/>
  <c r="P29" i="1"/>
  <c r="Q29" i="1"/>
  <c r="P28" i="1"/>
  <c r="Q28" i="1"/>
  <c r="P27" i="1"/>
  <c r="Q27" i="1"/>
  <c r="P26" i="1"/>
  <c r="Q26" i="1"/>
  <c r="P25" i="1"/>
  <c r="Q25" i="1"/>
  <c r="P24" i="1"/>
  <c r="P23" i="1"/>
  <c r="P22" i="1"/>
  <c r="P21" i="1"/>
  <c r="P20" i="1"/>
  <c r="P19" i="1"/>
  <c r="P44" i="1"/>
  <c r="P18" i="1"/>
  <c r="P17" i="1"/>
  <c r="P16" i="1"/>
  <c r="P15" i="1"/>
  <c r="I15" i="2"/>
  <c r="J15" i="2"/>
  <c r="P3" i="1"/>
  <c r="Q3" i="1"/>
  <c r="P4" i="1"/>
  <c r="Q4" i="1"/>
  <c r="P5" i="1"/>
  <c r="Q5" i="1"/>
  <c r="P6" i="1"/>
  <c r="Q6" i="1"/>
  <c r="P7" i="1"/>
  <c r="Q7" i="1"/>
  <c r="T1" i="1"/>
  <c r="Q65" i="1"/>
  <c r="Q63" i="1"/>
  <c r="Q60" i="1"/>
  <c r="Q55" i="1"/>
  <c r="Q57" i="1"/>
  <c r="Q56" i="1"/>
  <c r="Q24" i="1"/>
  <c r="Q23" i="1"/>
  <c r="Q22" i="1"/>
  <c r="Q21" i="1"/>
  <c r="Q20" i="1"/>
  <c r="Q19" i="1"/>
  <c r="Q44" i="1"/>
  <c r="Q18" i="1"/>
  <c r="Q17" i="1"/>
  <c r="Q15" i="1"/>
  <c r="Q16" i="1"/>
  <c r="P14" i="1"/>
  <c r="Q14" i="1"/>
  <c r="P36" i="1"/>
  <c r="Q36" i="1"/>
  <c r="P13" i="1"/>
  <c r="Q13" i="1"/>
  <c r="P12" i="1"/>
  <c r="Q12" i="1"/>
  <c r="P31" i="1"/>
  <c r="Q31" i="1"/>
  <c r="P11" i="1"/>
  <c r="Q11" i="1"/>
  <c r="P10" i="1"/>
  <c r="Q10" i="1"/>
  <c r="P9" i="1"/>
  <c r="Q9" i="1"/>
  <c r="P8" i="1"/>
  <c r="Q8" i="1"/>
  <c r="F104" i="1"/>
  <c r="D104" i="1"/>
  <c r="G13" i="2" a="1"/>
  <c r="H103" i="1" l="1"/>
  <c r="T7" i="1"/>
  <c r="T5" i="1"/>
  <c r="T3" i="1"/>
  <c r="T4" i="1"/>
  <c r="T6" i="1"/>
  <c r="G13" i="2"/>
  <c r="T2" i="1" l="1"/>
  <c r="U4" i="1"/>
  <c r="U7" i="1"/>
  <c r="U6" i="1"/>
  <c r="U5" i="1"/>
  <c r="U3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<sst xmlns="http://schemas.openxmlformats.org/spreadsheetml/2006/main" count="235" uniqueCount="72">
  <si>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</si>
  <si>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</si>
  <si>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</si>
  <si>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</si>
  <si>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</si>
  <si>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</si>
  <si>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</si>
  <si>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</si>
  <si>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</si>
  <si>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</si>
  <si>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</si>
  <si>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</si>
  <si>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</si>
  <si>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</si>
  <si>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</si>
  <si>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</si>
  <si>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</si>
  <si>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</si>
  <si>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</si>
  <si>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</si>
  <si>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</si>
  <si>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</si>
  <si>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</si>
  <si>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</si>
  <si>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</si>
  <si>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</si>
  <si>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</si>
  <si>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</si>
  <si>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</si>
  <si>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</si>
  <si>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</si>
  <si>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</si>
  <si>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</si>
  <si>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</si>
  <si>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</si>
  <si>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</si>
  <si>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</si>
  <si>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</si>
  <si>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</si>
  <si>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</si>
  <si>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</si>
  <si>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</si>
  <si>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</si>
  <si>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</si>
  <si>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</si>
  <si>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</si>
  <si>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STAC</t>
  </si>
  <si>
    <t>WESTCONN</t>
  </si>
  <si>
    <t>WestConn</t>
  </si>
  <si>
    <t>Sacred Heart (Home) Wins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</si>
  <si>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</si>
  <si>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</si>
  <si>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</si>
  <si>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</si>
  <si>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</si>
  <si>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</si>
  <si>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</si>
  <si>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</si>
  <si>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</si>
  <si>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</si>
  <si>
    <t>Kings Point (Away) Wins</t>
  </si>
  <si>
    <t>***</t>
  </si>
  <si>
    <t>Sacred Heart by Forfeit</t>
  </si>
  <si>
    <t>Columbia by Forfeit</t>
  </si>
  <si>
    <t>STAC by Forfeit</t>
  </si>
  <si>
    <t>18-Game Season
Top 4 Teams Qualify for the Playoffs
WestConn is ineligible for Playoffs</t>
  </si>
  <si>
    <t>Kings Point (Home) Wins</t>
  </si>
  <si>
    <t>Columbia (Home) Wins</t>
  </si>
  <si>
    <t>Maritime in OT/SO</t>
  </si>
  <si>
    <t>Columbia in OT/SO</t>
  </si>
  <si>
    <t>**</t>
  </si>
  <si>
    <t>WestConn in OT/SO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</si>
</sst>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Q18" sqref="Q18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40</v>
      </c>
      <c r="D4" s="28">
        <v>15</v>
      </c>
      <c r="E4" s="28">
        <v>12</v>
      </c>
      <c r="F4" s="28">
        <v>2</v>
      </c>
      <c r="G4" s="28">
        <v>1</v>
      </c>
      <c r="H4" s="74">
        <v>25</v>
      </c>
      <c r="I4" s="28">
        <v>90</v>
      </c>
      <c r="J4" s="75">
        <v>26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25</v>
      </c>
      <c r="D5" s="28">
        <v>14</v>
      </c>
      <c r="E5" s="28">
        <v>10</v>
      </c>
      <c r="F5" s="28">
        <v>4</v>
      </c>
      <c r="G5" s="28">
        <v>0</v>
      </c>
      <c r="H5" s="74">
        <v>20</v>
      </c>
      <c r="I5" s="28">
        <v>88</v>
      </c>
      <c r="J5" s="75">
        <v>47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3</v>
      </c>
      <c r="D6" s="28">
        <v>13</v>
      </c>
      <c r="E6" s="28">
        <v>7</v>
      </c>
      <c r="F6" s="28">
        <v>4</v>
      </c>
      <c r="G6" s="28">
        <v>2</v>
      </c>
      <c r="H6" s="74">
        <v>16</v>
      </c>
      <c r="I6" s="28">
        <v>41</v>
      </c>
      <c r="J6" s="75">
        <v>48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4</v>
      </c>
      <c r="D7" s="28">
        <v>15</v>
      </c>
      <c r="E7" s="28">
        <v>6</v>
      </c>
      <c r="F7" s="28">
        <v>8</v>
      </c>
      <c r="G7" s="28">
        <v>1</v>
      </c>
      <c r="H7" s="74">
        <v>13</v>
      </c>
      <c r="I7" s="28">
        <v>55</v>
      </c>
      <c r="J7" s="75">
        <v>88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46</v>
      </c>
      <c r="D8" s="28">
        <v>12</v>
      </c>
      <c r="E8" s="28">
        <v>6</v>
      </c>
      <c r="F8" s="28">
        <v>6</v>
      </c>
      <c r="G8" s="28">
        <v>0</v>
      </c>
      <c r="H8" s="74">
        <v>12</v>
      </c>
      <c r="I8" s="28">
        <v>38</v>
      </c>
      <c r="J8" s="75">
        <v>61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2</v>
      </c>
      <c r="D9" s="28">
        <v>12</v>
      </c>
      <c r="E9" s="28">
        <v>5</v>
      </c>
      <c r="F9" s="28">
        <v>7</v>
      </c>
      <c r="G9" s="28">
        <v>0</v>
      </c>
      <c r="H9" s="74">
        <v>10</v>
      </c>
      <c r="I9" s="28">
        <v>36</v>
      </c>
      <c r="J9" s="75">
        <v>49</v>
      </c>
      <c r="K9" s="81"/>
    </row>
    <row r="10" spans="1:16" ht="18" customHeight="1" x14ac:dyDescent="0.3">
      <c r="A10" s="81"/>
      <c r="B10" s="69">
        <v>7</v>
      </c>
      <c r="C10" s="73" t="s">
        <v>48</v>
      </c>
      <c r="D10" s="28">
        <v>13</v>
      </c>
      <c r="E10" s="28">
        <v>1</v>
      </c>
      <c r="F10" s="28">
        <v>12</v>
      </c>
      <c r="G10" s="28">
        <v>0</v>
      </c>
      <c r="H10" s="74">
        <v>2</v>
      </c>
      <c r="I10" s="28">
        <v>24</v>
      </c>
      <c r="J10" s="75">
        <v>53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>
        <v>63</v>
      </c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44954.576585648145</v>
      </c>
      <c r="H13" s="82"/>
      <c r="I13" s="82"/>
      <c r="J13" s="83"/>
      <c r="K13" s="1"/>
      <c r="M13" s="42"/>
      <c r="N13" s="42"/>
      <c r="O13" s="42"/>
    </row>
    <row r="14" spans="1:16" ht="52.95" customHeight="1" thickBot="1" x14ac:dyDescent="0.35">
      <c r="B14" s="43"/>
      <c r="C14" s="86" t="s">
        <v>65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372</v>
      </c>
      <c r="J15" s="7">
        <f>SUM(J4:J12)</f>
        <v>372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opLeftCell="A22" zoomScaleNormal="100" workbookViewId="0">
      <selection activeCell="A49" sqref="A49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44140625" style="24" bestFit="1" customWidth="1"/>
    <col min="4" max="4" width="4" style="1" bestFit="1" customWidth="1"/>
    <col min="5" max="5" width="10.4414062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218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47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>
        <v>0</v>
      </c>
      <c r="E3" s="46" t="s">
        <v>40</v>
      </c>
      <c r="F3" s="47">
        <v>7</v>
      </c>
      <c r="G3" s="48"/>
      <c r="H3" s="49" t="s">
        <v>49</v>
      </c>
      <c r="I3" s="50">
        <v>6</v>
      </c>
      <c r="J3" s="50">
        <v>4</v>
      </c>
      <c r="M3" s="52" t="s">
        <v>26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33</v>
      </c>
      <c r="T3" s="51">
        <f>COUNTIF($Q$3:$Q$65,R3)</f>
        <v>16</v>
      </c>
      <c r="U3" s="56">
        <f>IF($T$2&gt;0, T3/$T$2, 0)</f>
        <v>0.34042553191489361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40</v>
      </c>
      <c r="D4" s="47">
        <v>1</v>
      </c>
      <c r="E4" s="46" t="s">
        <v>48</v>
      </c>
      <c r="F4" s="47">
        <v>0</v>
      </c>
      <c r="G4" s="48" t="s">
        <v>61</v>
      </c>
      <c r="H4" s="49" t="s">
        <v>62</v>
      </c>
      <c r="I4" s="50">
        <v>4</v>
      </c>
      <c r="J4" s="50">
        <v>7</v>
      </c>
      <c r="M4" s="53" t="s">
        <v>39</v>
      </c>
      <c r="N4" s="53">
        <v>4</v>
      </c>
      <c r="P4" s="54">
        <f t="shared" ref="P4:P11" si="0">D4-F4</f>
        <v>1</v>
      </c>
      <c r="Q4" s="51">
        <f t="shared" ref="Q4:Q11" si="1">ABS(P4)</f>
        <v>1</v>
      </c>
      <c r="R4" s="55">
        <v>2</v>
      </c>
      <c r="S4" s="51" t="s">
        <v>33</v>
      </c>
      <c r="T4" s="51">
        <f>COUNTIF($Q$3:$Q$65,R4)</f>
        <v>7</v>
      </c>
      <c r="U4" s="56">
        <f>IF($T$2&gt;0, T4/$T$2, 0)</f>
        <v>0.14893617021276595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40</v>
      </c>
      <c r="D5" s="47">
        <v>10</v>
      </c>
      <c r="E5" s="46" t="s">
        <v>46</v>
      </c>
      <c r="F5" s="47">
        <v>2</v>
      </c>
      <c r="G5" s="48"/>
      <c r="H5" s="49" t="s">
        <v>50</v>
      </c>
      <c r="I5" s="50">
        <v>4</v>
      </c>
      <c r="J5" s="50">
        <v>5</v>
      </c>
      <c r="M5" s="53" t="s">
        <v>46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33</v>
      </c>
      <c r="T5" s="51">
        <f>COUNTIF($Q$3:$Q$65,R5)</f>
        <v>7</v>
      </c>
      <c r="U5" s="56">
        <f>IF($T$2&gt;0, T5/$T$2, 0)</f>
        <v>0.14893617021276595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3</v>
      </c>
      <c r="D6" s="47">
        <v>2</v>
      </c>
      <c r="E6" s="46" t="s">
        <v>48</v>
      </c>
      <c r="F6" s="47">
        <v>1</v>
      </c>
      <c r="G6" s="48"/>
      <c r="H6" s="49" t="s">
        <v>51</v>
      </c>
      <c r="I6" s="50">
        <v>6</v>
      </c>
      <c r="J6" s="50">
        <v>7</v>
      </c>
      <c r="M6" s="53" t="s">
        <v>22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33</v>
      </c>
      <c r="T6" s="51">
        <f>COUNTIF($Q$3:$Q$65,R6)</f>
        <v>2</v>
      </c>
      <c r="U6" s="56">
        <f>IF($T$2&gt;0, T6/$T$2, 0)</f>
        <v>4.2553191489361701E-2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46</v>
      </c>
      <c r="D7" s="47">
        <v>2</v>
      </c>
      <c r="E7" s="46" t="s">
        <v>25</v>
      </c>
      <c r="F7" s="47">
        <v>9</v>
      </c>
      <c r="G7" s="48"/>
      <c r="H7" s="49" t="s">
        <v>52</v>
      </c>
      <c r="I7" s="50">
        <v>5</v>
      </c>
      <c r="J7" s="50">
        <v>3</v>
      </c>
      <c r="M7" s="53" t="s">
        <v>47</v>
      </c>
      <c r="N7" s="53">
        <v>7</v>
      </c>
      <c r="P7" s="54">
        <f t="shared" si="0"/>
        <v>-7</v>
      </c>
      <c r="Q7" s="51">
        <f t="shared" si="1"/>
        <v>7</v>
      </c>
      <c r="R7" s="57" t="s">
        <v>32</v>
      </c>
      <c r="S7" s="58" t="s">
        <v>33</v>
      </c>
      <c r="T7" s="58">
        <f>COUNTIF($Q$3:$Q$65,"&gt;=5")</f>
        <v>15</v>
      </c>
      <c r="U7" s="59">
        <f>IF($T$2&gt;0, T7/$T$2, 0)</f>
        <v>0.31914893617021278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25</v>
      </c>
      <c r="D8" s="47">
        <v>3</v>
      </c>
      <c r="E8" s="46" t="s">
        <v>3</v>
      </c>
      <c r="F8" s="47">
        <v>5</v>
      </c>
      <c r="G8" s="48"/>
      <c r="H8" s="49" t="s">
        <v>53</v>
      </c>
      <c r="I8" s="50">
        <v>3</v>
      </c>
      <c r="J8" s="50">
        <v>6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48</v>
      </c>
      <c r="D9" s="47">
        <v>1</v>
      </c>
      <c r="E9" s="46" t="s">
        <v>46</v>
      </c>
      <c r="F9" s="47">
        <v>4</v>
      </c>
      <c r="G9" s="48"/>
      <c r="H9" s="49" t="s">
        <v>54</v>
      </c>
      <c r="I9" s="50">
        <v>7</v>
      </c>
      <c r="J9" s="50">
        <v>5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4</v>
      </c>
      <c r="D10" s="47">
        <v>2</v>
      </c>
      <c r="E10" s="46" t="s">
        <v>25</v>
      </c>
      <c r="F10" s="47">
        <v>11</v>
      </c>
      <c r="G10" s="48"/>
      <c r="H10" s="49" t="s">
        <v>52</v>
      </c>
      <c r="I10" s="50">
        <v>1</v>
      </c>
      <c r="J10" s="50">
        <v>3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25</v>
      </c>
      <c r="D11" s="47">
        <v>5</v>
      </c>
      <c r="E11" s="46" t="s">
        <v>40</v>
      </c>
      <c r="F11" s="47">
        <v>3</v>
      </c>
      <c r="G11" s="48"/>
      <c r="H11" s="49" t="s">
        <v>55</v>
      </c>
      <c r="I11" s="50">
        <v>3</v>
      </c>
      <c r="J11" s="50">
        <v>4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4</v>
      </c>
      <c r="D12" s="47">
        <v>2</v>
      </c>
      <c r="E12" s="46" t="s">
        <v>40</v>
      </c>
      <c r="F12" s="47">
        <v>1</v>
      </c>
      <c r="G12" s="48"/>
      <c r="H12" s="49" t="s">
        <v>57</v>
      </c>
      <c r="I12" s="50">
        <v>1</v>
      </c>
      <c r="J12" s="50">
        <v>4</v>
      </c>
      <c r="P12" s="54">
        <f t="shared" ref="P12:P18" si="2">D12-F12</f>
        <v>1</v>
      </c>
      <c r="Q12" s="60">
        <f t="shared" ref="Q12:Q18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3</v>
      </c>
      <c r="D13" s="47">
        <v>3</v>
      </c>
      <c r="E13" s="46" t="s">
        <v>46</v>
      </c>
      <c r="F13" s="47">
        <v>4</v>
      </c>
      <c r="G13" s="48" t="s">
        <v>56</v>
      </c>
      <c r="H13" s="49" t="s">
        <v>58</v>
      </c>
      <c r="I13" s="50">
        <v>6</v>
      </c>
      <c r="J13" s="50">
        <v>5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48</v>
      </c>
      <c r="D14" s="47">
        <v>1</v>
      </c>
      <c r="E14" s="46" t="s">
        <v>25</v>
      </c>
      <c r="F14" s="47">
        <v>4</v>
      </c>
      <c r="G14" s="48"/>
      <c r="H14" s="49" t="s">
        <v>52</v>
      </c>
      <c r="I14" s="50">
        <v>7</v>
      </c>
      <c r="J14" s="50">
        <v>3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46</v>
      </c>
      <c r="D15" s="47">
        <v>7</v>
      </c>
      <c r="E15" s="46" t="s">
        <v>4</v>
      </c>
      <c r="F15" s="47">
        <v>6</v>
      </c>
      <c r="G15" s="48"/>
      <c r="H15" s="49" t="s">
        <v>59</v>
      </c>
      <c r="I15" s="50">
        <v>5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4</v>
      </c>
      <c r="D16" s="47">
        <v>2</v>
      </c>
      <c r="E16" s="46" t="s">
        <v>46</v>
      </c>
      <c r="F16" s="47">
        <v>5</v>
      </c>
      <c r="G16" s="48"/>
      <c r="H16" s="49" t="s">
        <v>54</v>
      </c>
      <c r="I16" s="50">
        <v>1</v>
      </c>
      <c r="J16" s="50">
        <v>5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40</v>
      </c>
      <c r="D17" s="47">
        <v>4</v>
      </c>
      <c r="E17" s="46" t="s">
        <v>3</v>
      </c>
      <c r="F17" s="47">
        <v>1</v>
      </c>
      <c r="G17" s="48"/>
      <c r="H17" s="49" t="s">
        <v>50</v>
      </c>
      <c r="I17" s="50">
        <v>4</v>
      </c>
      <c r="J17" s="50">
        <v>6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48</v>
      </c>
      <c r="D18" s="47">
        <v>1</v>
      </c>
      <c r="E18" s="46" t="s">
        <v>3</v>
      </c>
      <c r="F18" s="47">
        <v>2</v>
      </c>
      <c r="G18" s="48"/>
      <c r="H18" s="49" t="s">
        <v>53</v>
      </c>
      <c r="I18" s="50">
        <v>7</v>
      </c>
      <c r="J18" s="50">
        <v>6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20</v>
      </c>
      <c r="B19" s="45">
        <v>44869</v>
      </c>
      <c r="C19" s="46" t="s">
        <v>4</v>
      </c>
      <c r="D19" s="47">
        <v>1</v>
      </c>
      <c r="E19" s="46" t="s">
        <v>48</v>
      </c>
      <c r="F19" s="47">
        <v>0</v>
      </c>
      <c r="G19" s="48" t="s">
        <v>61</v>
      </c>
      <c r="H19" s="49" t="s">
        <v>63</v>
      </c>
      <c r="I19" s="50">
        <v>1</v>
      </c>
      <c r="J19" s="50">
        <v>7</v>
      </c>
      <c r="P19" s="54">
        <f t="shared" ref="P19:P43" si="4">D19-F19</f>
        <v>1</v>
      </c>
      <c r="Q19" s="60">
        <f t="shared" ref="Q19:Q43" si="5">ABS(P19)</f>
        <v>1</v>
      </c>
    </row>
    <row r="20" spans="1:17" s="51" customFormat="1" x14ac:dyDescent="0.3">
      <c r="A20" s="44">
        <v>21</v>
      </c>
      <c r="B20" s="45">
        <v>44869</v>
      </c>
      <c r="C20" s="46" t="s">
        <v>25</v>
      </c>
      <c r="D20" s="47">
        <v>5</v>
      </c>
      <c r="E20" s="46" t="s">
        <v>46</v>
      </c>
      <c r="F20" s="47">
        <v>4</v>
      </c>
      <c r="G20" s="48"/>
      <c r="H20" s="49" t="s">
        <v>55</v>
      </c>
      <c r="I20" s="50">
        <v>3</v>
      </c>
      <c r="J20" s="50">
        <v>5</v>
      </c>
      <c r="P20" s="54">
        <f t="shared" si="4"/>
        <v>1</v>
      </c>
      <c r="Q20" s="60">
        <f t="shared" si="5"/>
        <v>1</v>
      </c>
    </row>
    <row r="21" spans="1:17" s="51" customFormat="1" x14ac:dyDescent="0.3">
      <c r="A21" s="44">
        <v>22</v>
      </c>
      <c r="B21" s="45">
        <v>44870</v>
      </c>
      <c r="C21" s="46" t="s">
        <v>4</v>
      </c>
      <c r="D21" s="47">
        <v>1</v>
      </c>
      <c r="E21" s="46" t="s">
        <v>3</v>
      </c>
      <c r="F21" s="47">
        <v>4</v>
      </c>
      <c r="G21" s="48"/>
      <c r="H21" s="49" t="s">
        <v>53</v>
      </c>
      <c r="I21" s="50">
        <v>1</v>
      </c>
      <c r="J21" s="50">
        <v>6</v>
      </c>
      <c r="P21" s="54">
        <f t="shared" si="4"/>
        <v>-3</v>
      </c>
      <c r="Q21" s="60">
        <f t="shared" si="5"/>
        <v>3</v>
      </c>
    </row>
    <row r="22" spans="1:17" s="51" customFormat="1" x14ac:dyDescent="0.3">
      <c r="A22" s="44">
        <v>23</v>
      </c>
      <c r="B22" s="45">
        <v>44876</v>
      </c>
      <c r="C22" s="46" t="s">
        <v>40</v>
      </c>
      <c r="D22" s="47">
        <v>8</v>
      </c>
      <c r="E22" s="46" t="s">
        <v>46</v>
      </c>
      <c r="F22" s="47">
        <v>1</v>
      </c>
      <c r="G22" s="48"/>
      <c r="H22" s="49" t="s">
        <v>50</v>
      </c>
      <c r="I22" s="50">
        <v>4</v>
      </c>
      <c r="J22" s="50">
        <v>5</v>
      </c>
      <c r="P22" s="54">
        <f t="shared" si="4"/>
        <v>7</v>
      </c>
      <c r="Q22" s="60">
        <f t="shared" si="5"/>
        <v>7</v>
      </c>
    </row>
    <row r="23" spans="1:17" s="51" customFormat="1" x14ac:dyDescent="0.3">
      <c r="A23" s="44">
        <v>24</v>
      </c>
      <c r="B23" s="45">
        <v>44876</v>
      </c>
      <c r="C23" s="46" t="s">
        <v>3</v>
      </c>
      <c r="D23" s="47">
        <v>4</v>
      </c>
      <c r="E23" s="46" t="s">
        <v>25</v>
      </c>
      <c r="F23" s="47">
        <v>10</v>
      </c>
      <c r="G23" s="48"/>
      <c r="H23" s="49" t="s">
        <v>52</v>
      </c>
      <c r="I23" s="50">
        <v>6</v>
      </c>
      <c r="J23" s="50">
        <v>3</v>
      </c>
      <c r="N23" s="51">
        <f>LOOKUP(C24,M1:M5,N1:N5)</f>
        <v>5</v>
      </c>
      <c r="P23" s="54">
        <f t="shared" si="4"/>
        <v>-6</v>
      </c>
      <c r="Q23" s="60">
        <f t="shared" si="5"/>
        <v>6</v>
      </c>
    </row>
    <row r="24" spans="1:17" s="51" customFormat="1" x14ac:dyDescent="0.3">
      <c r="A24" s="44">
        <v>25</v>
      </c>
      <c r="B24" s="45">
        <v>44877</v>
      </c>
      <c r="C24" s="46" t="s">
        <v>46</v>
      </c>
      <c r="D24" s="47">
        <v>1</v>
      </c>
      <c r="E24" s="46" t="s">
        <v>48</v>
      </c>
      <c r="F24" s="47">
        <v>0</v>
      </c>
      <c r="G24" s="48" t="s">
        <v>61</v>
      </c>
      <c r="H24" s="49" t="s">
        <v>64</v>
      </c>
      <c r="I24" s="50">
        <v>5</v>
      </c>
      <c r="J24" s="50">
        <v>7</v>
      </c>
      <c r="O24" s="51">
        <f>LOOKUP(E24,M1:M5,N1:N5)</f>
        <v>5</v>
      </c>
      <c r="P24" s="54">
        <f t="shared" si="4"/>
        <v>1</v>
      </c>
      <c r="Q24" s="60">
        <f t="shared" si="5"/>
        <v>1</v>
      </c>
    </row>
    <row r="25" spans="1:17" s="51" customFormat="1" x14ac:dyDescent="0.3">
      <c r="A25" s="44">
        <v>2</v>
      </c>
      <c r="B25" s="45">
        <v>44878</v>
      </c>
      <c r="C25" s="46" t="s">
        <v>4</v>
      </c>
      <c r="D25" s="47">
        <v>3</v>
      </c>
      <c r="E25" s="46" t="s">
        <v>3</v>
      </c>
      <c r="F25" s="47">
        <v>6</v>
      </c>
      <c r="G25" s="48"/>
      <c r="H25" s="49" t="s">
        <v>53</v>
      </c>
      <c r="I25" s="50">
        <v>1</v>
      </c>
      <c r="J25" s="50">
        <v>6</v>
      </c>
      <c r="P25" s="54">
        <f t="shared" si="4"/>
        <v>-3</v>
      </c>
      <c r="Q25" s="60">
        <f t="shared" si="5"/>
        <v>3</v>
      </c>
    </row>
    <row r="26" spans="1:17" s="51" customFormat="1" x14ac:dyDescent="0.3">
      <c r="A26" s="44">
        <v>26</v>
      </c>
      <c r="B26" s="45">
        <v>44883</v>
      </c>
      <c r="C26" s="46" t="s">
        <v>4</v>
      </c>
      <c r="D26" s="47">
        <v>2</v>
      </c>
      <c r="E26" s="46" t="s">
        <v>40</v>
      </c>
      <c r="F26" s="47">
        <v>18</v>
      </c>
      <c r="G26" s="48"/>
      <c r="H26" s="49" t="s">
        <v>49</v>
      </c>
      <c r="I26" s="50">
        <v>1</v>
      </c>
      <c r="J26" s="50">
        <v>4</v>
      </c>
      <c r="P26" s="54">
        <f t="shared" si="4"/>
        <v>-16</v>
      </c>
      <c r="Q26" s="60">
        <f t="shared" si="5"/>
        <v>16</v>
      </c>
    </row>
    <row r="27" spans="1:17" s="51" customFormat="1" x14ac:dyDescent="0.3">
      <c r="A27" s="44">
        <v>27</v>
      </c>
      <c r="B27" s="45">
        <v>44883</v>
      </c>
      <c r="C27" s="46" t="s">
        <v>2</v>
      </c>
      <c r="D27" s="47">
        <v>2</v>
      </c>
      <c r="E27" s="46" t="s">
        <v>46</v>
      </c>
      <c r="F27" s="47">
        <v>3</v>
      </c>
      <c r="G27" s="48"/>
      <c r="H27" s="49" t="s">
        <v>54</v>
      </c>
      <c r="I27" s="50">
        <v>2</v>
      </c>
      <c r="J27" s="50">
        <v>5</v>
      </c>
      <c r="P27" s="54">
        <f t="shared" si="4"/>
        <v>-1</v>
      </c>
      <c r="Q27" s="60">
        <f t="shared" si="5"/>
        <v>1</v>
      </c>
    </row>
    <row r="28" spans="1:17" s="51" customFormat="1" x14ac:dyDescent="0.3">
      <c r="A28" s="44">
        <v>28</v>
      </c>
      <c r="B28" s="45">
        <v>44884</v>
      </c>
      <c r="C28" s="46" t="s">
        <v>2</v>
      </c>
      <c r="D28" s="47">
        <v>7</v>
      </c>
      <c r="E28" s="46" t="s">
        <v>48</v>
      </c>
      <c r="F28" s="47">
        <v>3</v>
      </c>
      <c r="G28" s="48"/>
      <c r="H28" s="49" t="s">
        <v>60</v>
      </c>
      <c r="I28" s="50">
        <v>2</v>
      </c>
      <c r="J28" s="50">
        <v>7</v>
      </c>
      <c r="P28" s="54">
        <f t="shared" si="4"/>
        <v>4</v>
      </c>
      <c r="Q28" s="60">
        <f t="shared" si="5"/>
        <v>4</v>
      </c>
    </row>
    <row r="29" spans="1:17" s="51" customFormat="1" x14ac:dyDescent="0.3">
      <c r="A29" s="44">
        <v>29</v>
      </c>
      <c r="B29" s="45">
        <v>44884</v>
      </c>
      <c r="C29" s="46" t="s">
        <v>3</v>
      </c>
      <c r="D29" s="47">
        <v>0</v>
      </c>
      <c r="E29" s="46" t="s">
        <v>40</v>
      </c>
      <c r="F29" s="47">
        <v>7</v>
      </c>
      <c r="G29" s="48"/>
      <c r="H29" s="49" t="s">
        <v>49</v>
      </c>
      <c r="I29" s="50">
        <v>6</v>
      </c>
      <c r="J29" s="50">
        <v>4</v>
      </c>
      <c r="P29" s="54">
        <f t="shared" si="4"/>
        <v>-7</v>
      </c>
      <c r="Q29" s="60">
        <f t="shared" si="5"/>
        <v>7</v>
      </c>
    </row>
    <row r="30" spans="1:17" s="51" customFormat="1" x14ac:dyDescent="0.3">
      <c r="A30" s="44">
        <v>30</v>
      </c>
      <c r="B30" s="45">
        <v>44884</v>
      </c>
      <c r="C30" s="46" t="s">
        <v>46</v>
      </c>
      <c r="D30" s="47">
        <v>3</v>
      </c>
      <c r="E30" s="46" t="s">
        <v>25</v>
      </c>
      <c r="F30" s="47">
        <v>9</v>
      </c>
      <c r="G30" s="48"/>
      <c r="H30" s="49" t="s">
        <v>52</v>
      </c>
      <c r="I30" s="50">
        <v>5</v>
      </c>
      <c r="J30" s="50">
        <v>3</v>
      </c>
      <c r="P30" s="54">
        <f t="shared" si="4"/>
        <v>-6</v>
      </c>
      <c r="Q30" s="60">
        <f t="shared" si="5"/>
        <v>6</v>
      </c>
    </row>
    <row r="31" spans="1:17" s="51" customFormat="1" x14ac:dyDescent="0.3">
      <c r="A31" s="44">
        <v>11</v>
      </c>
      <c r="B31" s="45">
        <v>44897</v>
      </c>
      <c r="C31" s="46" t="s">
        <v>4</v>
      </c>
      <c r="D31" s="47">
        <v>2</v>
      </c>
      <c r="E31" s="46" t="s">
        <v>3</v>
      </c>
      <c r="F31" s="47">
        <v>9</v>
      </c>
      <c r="G31" s="48"/>
      <c r="H31" s="49" t="s">
        <v>53</v>
      </c>
      <c r="I31" s="50">
        <v>1</v>
      </c>
      <c r="J31" s="50">
        <v>6</v>
      </c>
      <c r="P31" s="54">
        <f t="shared" si="4"/>
        <v>-7</v>
      </c>
      <c r="Q31" s="60">
        <f t="shared" si="5"/>
        <v>7</v>
      </c>
    </row>
    <row r="32" spans="1:17" s="51" customFormat="1" x14ac:dyDescent="0.3">
      <c r="A32" s="44">
        <v>31</v>
      </c>
      <c r="B32" s="45">
        <v>44897</v>
      </c>
      <c r="C32" s="46" t="s">
        <v>46</v>
      </c>
      <c r="D32" s="47">
        <v>2</v>
      </c>
      <c r="E32" s="46" t="s">
        <v>2</v>
      </c>
      <c r="F32" s="47">
        <v>6</v>
      </c>
      <c r="G32" s="48"/>
      <c r="H32" s="49" t="s">
        <v>66</v>
      </c>
      <c r="I32" s="50">
        <v>5</v>
      </c>
      <c r="J32" s="50">
        <v>2</v>
      </c>
      <c r="P32" s="54">
        <f t="shared" si="4"/>
        <v>-4</v>
      </c>
      <c r="Q32" s="60">
        <f t="shared" si="5"/>
        <v>4</v>
      </c>
    </row>
    <row r="33" spans="1:17" s="51" customFormat="1" x14ac:dyDescent="0.3">
      <c r="A33" s="44">
        <v>32</v>
      </c>
      <c r="B33" s="45">
        <v>44897</v>
      </c>
      <c r="C33" s="46" t="s">
        <v>40</v>
      </c>
      <c r="D33" s="47">
        <v>4</v>
      </c>
      <c r="E33" s="46" t="s">
        <v>25</v>
      </c>
      <c r="F33" s="47">
        <v>2</v>
      </c>
      <c r="G33" s="48"/>
      <c r="H33" s="49" t="s">
        <v>50</v>
      </c>
      <c r="I33" s="50">
        <v>4</v>
      </c>
      <c r="J33" s="50">
        <v>3</v>
      </c>
      <c r="P33" s="54">
        <f t="shared" si="4"/>
        <v>2</v>
      </c>
      <c r="Q33" s="60">
        <f t="shared" si="5"/>
        <v>2</v>
      </c>
    </row>
    <row r="34" spans="1:17" s="51" customFormat="1" x14ac:dyDescent="0.3">
      <c r="A34" s="44">
        <v>33</v>
      </c>
      <c r="B34" s="45">
        <v>44898</v>
      </c>
      <c r="C34" s="46" t="s">
        <v>3</v>
      </c>
      <c r="D34" s="47">
        <v>2</v>
      </c>
      <c r="E34" s="46" t="s">
        <v>2</v>
      </c>
      <c r="F34" s="47">
        <v>1</v>
      </c>
      <c r="G34" s="48"/>
      <c r="H34" s="49" t="s">
        <v>51</v>
      </c>
      <c r="I34" s="50">
        <v>6</v>
      </c>
      <c r="J34" s="50">
        <v>2</v>
      </c>
      <c r="P34" s="54">
        <f t="shared" si="4"/>
        <v>1</v>
      </c>
      <c r="Q34" s="60">
        <f t="shared" si="5"/>
        <v>1</v>
      </c>
    </row>
    <row r="35" spans="1:17" s="51" customFormat="1" x14ac:dyDescent="0.3">
      <c r="A35" s="44">
        <v>34</v>
      </c>
      <c r="B35" s="45">
        <v>44898</v>
      </c>
      <c r="C35" s="46" t="s">
        <v>25</v>
      </c>
      <c r="D35" s="47">
        <v>4</v>
      </c>
      <c r="E35" s="46" t="s">
        <v>40</v>
      </c>
      <c r="F35" s="47">
        <v>6</v>
      </c>
      <c r="G35" s="48"/>
      <c r="H35" s="49" t="s">
        <v>49</v>
      </c>
      <c r="I35" s="50">
        <v>3</v>
      </c>
      <c r="J35" s="50">
        <v>4</v>
      </c>
      <c r="P35" s="54">
        <f t="shared" si="4"/>
        <v>-2</v>
      </c>
      <c r="Q35" s="60">
        <f t="shared" si="5"/>
        <v>2</v>
      </c>
    </row>
    <row r="36" spans="1:17" s="51" customFormat="1" x14ac:dyDescent="0.3">
      <c r="A36" s="44">
        <v>35</v>
      </c>
      <c r="B36" s="45">
        <v>44898</v>
      </c>
      <c r="C36" s="46" t="s">
        <v>48</v>
      </c>
      <c r="D36" s="47">
        <v>3</v>
      </c>
      <c r="E36" s="46" t="s">
        <v>4</v>
      </c>
      <c r="F36" s="47">
        <v>4</v>
      </c>
      <c r="G36" s="48"/>
      <c r="H36" s="49" t="s">
        <v>67</v>
      </c>
      <c r="I36" s="50">
        <v>7</v>
      </c>
      <c r="J36" s="50">
        <v>1</v>
      </c>
      <c r="P36" s="54">
        <f t="shared" si="4"/>
        <v>-1</v>
      </c>
      <c r="Q36" s="60">
        <f t="shared" si="5"/>
        <v>1</v>
      </c>
    </row>
    <row r="37" spans="1:17" s="51" customFormat="1" x14ac:dyDescent="0.3">
      <c r="A37" s="44">
        <v>36</v>
      </c>
      <c r="B37" s="45">
        <v>44902</v>
      </c>
      <c r="C37" s="46" t="s">
        <v>2</v>
      </c>
      <c r="D37" s="47">
        <v>5</v>
      </c>
      <c r="E37" s="46" t="s">
        <v>4</v>
      </c>
      <c r="F37" s="47">
        <v>4</v>
      </c>
      <c r="G37" s="48"/>
      <c r="H37" s="49" t="s">
        <v>60</v>
      </c>
      <c r="I37" s="50">
        <v>2</v>
      </c>
      <c r="J37" s="50">
        <v>1</v>
      </c>
      <c r="P37" s="54">
        <f t="shared" si="4"/>
        <v>1</v>
      </c>
      <c r="Q37" s="60">
        <f t="shared" si="5"/>
        <v>1</v>
      </c>
    </row>
    <row r="38" spans="1:17" s="51" customFormat="1" x14ac:dyDescent="0.3">
      <c r="A38" s="44">
        <v>37</v>
      </c>
      <c r="B38" s="45">
        <v>44904</v>
      </c>
      <c r="C38" s="46" t="s">
        <v>48</v>
      </c>
      <c r="D38" s="47">
        <v>0</v>
      </c>
      <c r="E38" s="46" t="s">
        <v>40</v>
      </c>
      <c r="F38" s="47">
        <v>7</v>
      </c>
      <c r="G38" s="48"/>
      <c r="H38" s="49" t="s">
        <v>49</v>
      </c>
      <c r="I38" s="50">
        <v>7</v>
      </c>
      <c r="J38" s="50">
        <v>4</v>
      </c>
      <c r="P38" s="54">
        <f t="shared" si="4"/>
        <v>-7</v>
      </c>
      <c r="Q38" s="60">
        <f t="shared" si="5"/>
        <v>7</v>
      </c>
    </row>
    <row r="39" spans="1:17" s="51" customFormat="1" x14ac:dyDescent="0.3">
      <c r="A39" s="44">
        <v>38</v>
      </c>
      <c r="B39" s="45">
        <v>44904</v>
      </c>
      <c r="C39" s="46" t="s">
        <v>4</v>
      </c>
      <c r="D39" s="47">
        <v>3</v>
      </c>
      <c r="E39" s="46" t="s">
        <v>2</v>
      </c>
      <c r="F39" s="47">
        <v>1</v>
      </c>
      <c r="G39" s="48"/>
      <c r="H39" s="49" t="s">
        <v>57</v>
      </c>
      <c r="I39" s="50">
        <v>1</v>
      </c>
      <c r="J39" s="50">
        <v>2</v>
      </c>
      <c r="P39" s="54">
        <f t="shared" si="4"/>
        <v>2</v>
      </c>
      <c r="Q39" s="60">
        <f t="shared" si="5"/>
        <v>2</v>
      </c>
    </row>
    <row r="40" spans="1:17" s="51" customFormat="1" x14ac:dyDescent="0.3">
      <c r="A40" s="44">
        <v>39</v>
      </c>
      <c r="B40" s="45">
        <v>44905</v>
      </c>
      <c r="C40" s="46" t="s">
        <v>40</v>
      </c>
      <c r="D40" s="47">
        <v>5</v>
      </c>
      <c r="E40" s="46" t="s">
        <v>2</v>
      </c>
      <c r="F40" s="47">
        <v>2</v>
      </c>
      <c r="G40" s="48"/>
      <c r="H40" s="49" t="s">
        <v>50</v>
      </c>
      <c r="I40" s="50">
        <v>4</v>
      </c>
      <c r="J40" s="50">
        <v>2</v>
      </c>
      <c r="P40" s="54">
        <f t="shared" si="4"/>
        <v>3</v>
      </c>
      <c r="Q40" s="60">
        <f t="shared" si="5"/>
        <v>3</v>
      </c>
    </row>
    <row r="41" spans="1:17" s="51" customFormat="1" x14ac:dyDescent="0.3">
      <c r="A41" s="44">
        <v>40</v>
      </c>
      <c r="B41" s="45">
        <v>44905</v>
      </c>
      <c r="C41" s="46" t="s">
        <v>48</v>
      </c>
      <c r="D41" s="47">
        <v>6</v>
      </c>
      <c r="E41" s="46" t="s">
        <v>4</v>
      </c>
      <c r="F41" s="47">
        <v>11</v>
      </c>
      <c r="G41" s="48"/>
      <c r="H41" s="49" t="s">
        <v>67</v>
      </c>
      <c r="I41" s="50">
        <v>7</v>
      </c>
      <c r="J41" s="50">
        <v>1</v>
      </c>
      <c r="P41" s="54">
        <f t="shared" si="4"/>
        <v>-5</v>
      </c>
      <c r="Q41" s="60">
        <f t="shared" si="5"/>
        <v>5</v>
      </c>
    </row>
    <row r="42" spans="1:17" s="51" customFormat="1" x14ac:dyDescent="0.3">
      <c r="A42" s="44">
        <v>41</v>
      </c>
      <c r="B42" s="45">
        <v>44939</v>
      </c>
      <c r="C42" s="46" t="s">
        <v>2</v>
      </c>
      <c r="D42" s="47">
        <v>0</v>
      </c>
      <c r="E42" s="46" t="s">
        <v>25</v>
      </c>
      <c r="F42" s="47">
        <v>9</v>
      </c>
      <c r="G42" s="48"/>
      <c r="H42" s="49" t="s">
        <v>52</v>
      </c>
      <c r="I42" s="50">
        <v>2</v>
      </c>
      <c r="J42" s="50">
        <v>3</v>
      </c>
      <c r="P42" s="54">
        <f t="shared" si="4"/>
        <v>-9</v>
      </c>
      <c r="Q42" s="60">
        <f t="shared" si="5"/>
        <v>9</v>
      </c>
    </row>
    <row r="43" spans="1:17" s="51" customFormat="1" x14ac:dyDescent="0.3">
      <c r="A43" s="44">
        <v>43</v>
      </c>
      <c r="B43" s="45">
        <v>44940</v>
      </c>
      <c r="C43" s="46" t="s">
        <v>25</v>
      </c>
      <c r="D43" s="47">
        <v>6</v>
      </c>
      <c r="E43" s="46" t="s">
        <v>2</v>
      </c>
      <c r="F43" s="47">
        <v>1</v>
      </c>
      <c r="G43" s="48"/>
      <c r="H43" s="49" t="s">
        <v>55</v>
      </c>
      <c r="I43" s="50">
        <v>3</v>
      </c>
      <c r="J43" s="50">
        <v>2</v>
      </c>
      <c r="P43" s="54">
        <f t="shared" si="4"/>
        <v>5</v>
      </c>
      <c r="Q43" s="60">
        <f t="shared" si="5"/>
        <v>5</v>
      </c>
    </row>
    <row r="44" spans="1:17" s="51" customFormat="1" x14ac:dyDescent="0.3">
      <c r="A44" s="44">
        <v>19</v>
      </c>
      <c r="B44" s="45">
        <v>44945</v>
      </c>
      <c r="C44" s="46" t="s">
        <v>25</v>
      </c>
      <c r="D44" s="47">
        <v>8</v>
      </c>
      <c r="E44" s="46" t="s">
        <v>4</v>
      </c>
      <c r="F44" s="47">
        <v>7</v>
      </c>
      <c r="G44" s="48" t="s">
        <v>56</v>
      </c>
      <c r="H44" s="49" t="s">
        <v>68</v>
      </c>
      <c r="I44" s="50">
        <v>3</v>
      </c>
      <c r="J44" s="50">
        <v>1</v>
      </c>
      <c r="P44" s="54">
        <f>D44-F44</f>
        <v>1</v>
      </c>
      <c r="Q44" s="60">
        <f>ABS(P44)</f>
        <v>1</v>
      </c>
    </row>
    <row r="45" spans="1:17" s="51" customFormat="1" x14ac:dyDescent="0.3">
      <c r="A45" s="44">
        <v>42</v>
      </c>
      <c r="B45" s="45">
        <v>44946</v>
      </c>
      <c r="C45" s="46" t="s">
        <v>25</v>
      </c>
      <c r="D45" s="47">
        <v>3</v>
      </c>
      <c r="E45" s="46" t="s">
        <v>2</v>
      </c>
      <c r="F45" s="47">
        <v>5</v>
      </c>
      <c r="G45" s="48"/>
      <c r="H45" s="49" t="s">
        <v>66</v>
      </c>
      <c r="I45" s="50">
        <v>3</v>
      </c>
      <c r="J45" s="50">
        <v>2</v>
      </c>
      <c r="P45" s="54">
        <f>D45-F45</f>
        <v>-2</v>
      </c>
      <c r="Q45" s="60">
        <f>ABS(P45)</f>
        <v>2</v>
      </c>
    </row>
    <row r="46" spans="1:17" s="51" customFormat="1" x14ac:dyDescent="0.3">
      <c r="A46" s="44">
        <v>44</v>
      </c>
      <c r="B46" s="45">
        <v>44947</v>
      </c>
      <c r="C46" s="46" t="s">
        <v>48</v>
      </c>
      <c r="D46" s="47">
        <v>4</v>
      </c>
      <c r="E46" s="46" t="s">
        <v>2</v>
      </c>
      <c r="F46" s="47">
        <v>6</v>
      </c>
      <c r="G46" s="48"/>
      <c r="H46" s="49" t="s">
        <v>66</v>
      </c>
      <c r="I46" s="50">
        <v>7</v>
      </c>
      <c r="J46" s="50">
        <v>2</v>
      </c>
      <c r="P46" s="54">
        <f>D46-F46</f>
        <v>-2</v>
      </c>
      <c r="Q46" s="60">
        <f>ABS(P46)</f>
        <v>2</v>
      </c>
    </row>
    <row r="47" spans="1:17" s="51" customFormat="1" x14ac:dyDescent="0.3">
      <c r="A47" s="44">
        <v>45</v>
      </c>
      <c r="B47" s="45">
        <v>44947</v>
      </c>
      <c r="C47" s="46" t="s">
        <v>40</v>
      </c>
      <c r="D47" s="47">
        <v>4</v>
      </c>
      <c r="E47" s="46" t="s">
        <v>4</v>
      </c>
      <c r="F47" s="47">
        <v>5</v>
      </c>
      <c r="G47" s="48" t="s">
        <v>56</v>
      </c>
      <c r="H47" s="49" t="s">
        <v>69</v>
      </c>
      <c r="I47" s="50">
        <v>4</v>
      </c>
      <c r="J47" s="50">
        <v>1</v>
      </c>
      <c r="P47" s="54">
        <f>D47-F47</f>
        <v>-1</v>
      </c>
      <c r="Q47" s="60">
        <f>ABS(P47)</f>
        <v>1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>
        <v>5</v>
      </c>
      <c r="E48" s="46" t="s">
        <v>2</v>
      </c>
      <c r="F48" s="47">
        <v>0</v>
      </c>
      <c r="G48" s="48"/>
      <c r="H48" s="49" t="s">
        <v>50</v>
      </c>
      <c r="I48" s="50">
        <v>4</v>
      </c>
      <c r="J48" s="50">
        <v>2</v>
      </c>
      <c r="P48" s="54">
        <f t="shared" ref="P48:P52" si="6">D48-F48</f>
        <v>5</v>
      </c>
      <c r="Q48" s="60">
        <f t="shared" ref="Q48" si="7">ABS(P48)</f>
        <v>5</v>
      </c>
    </row>
    <row r="49" spans="1:17" s="51" customFormat="1" x14ac:dyDescent="0.3">
      <c r="A49" s="44">
        <v>63</v>
      </c>
      <c r="B49" s="45">
        <v>44953</v>
      </c>
      <c r="C49" s="46" t="s">
        <v>48</v>
      </c>
      <c r="D49" s="47">
        <v>4</v>
      </c>
      <c r="E49" s="46" t="s">
        <v>3</v>
      </c>
      <c r="F49" s="47">
        <v>3</v>
      </c>
      <c r="G49" s="48" t="s">
        <v>70</v>
      </c>
      <c r="H49" s="49" t="s">
        <v>71</v>
      </c>
      <c r="I49" s="50">
        <v>7</v>
      </c>
      <c r="J49" s="50">
        <v>6</v>
      </c>
      <c r="P49" s="54">
        <f t="shared" si="6"/>
        <v>1</v>
      </c>
      <c r="Q49" s="60">
        <f t="shared" ref="Q49:Q52" si="8">ABS(P49)</f>
        <v>1</v>
      </c>
    </row>
    <row r="50" spans="1:17" s="51" customFormat="1" x14ac:dyDescent="0.3">
      <c r="A50" s="44">
        <v>47</v>
      </c>
      <c r="B50" s="45">
        <v>44954</v>
      </c>
      <c r="C50" s="46" t="s">
        <v>48</v>
      </c>
      <c r="D50" s="47"/>
      <c r="E50" s="46" t="s">
        <v>46</v>
      </c>
      <c r="F50" s="47"/>
      <c r="G50" s="48"/>
      <c r="H50" s="49"/>
      <c r="I50" s="50"/>
      <c r="J50" s="50"/>
      <c r="P50" s="54">
        <f t="shared" si="6"/>
        <v>0</v>
      </c>
      <c r="Q50" s="60">
        <f t="shared" si="8"/>
        <v>0</v>
      </c>
    </row>
    <row r="51" spans="1:17" s="51" customFormat="1" x14ac:dyDescent="0.3">
      <c r="A51" s="44">
        <v>48</v>
      </c>
      <c r="B51" s="45">
        <v>44954</v>
      </c>
      <c r="C51" s="46" t="s">
        <v>2</v>
      </c>
      <c r="D51" s="47"/>
      <c r="E51" s="46" t="s">
        <v>3</v>
      </c>
      <c r="F51" s="47"/>
      <c r="G51" s="48"/>
      <c r="H51" s="49"/>
      <c r="I51" s="50"/>
      <c r="J51" s="50"/>
      <c r="P51" s="54">
        <f t="shared" si="6"/>
        <v>0</v>
      </c>
      <c r="Q51" s="60">
        <f t="shared" si="8"/>
        <v>0</v>
      </c>
    </row>
    <row r="52" spans="1:17" s="51" customFormat="1" x14ac:dyDescent="0.3">
      <c r="A52" s="44">
        <v>49</v>
      </c>
      <c r="B52" s="45">
        <v>44955</v>
      </c>
      <c r="C52" s="46" t="s">
        <v>46</v>
      </c>
      <c r="D52" s="47"/>
      <c r="E52" s="46" t="s">
        <v>40</v>
      </c>
      <c r="F52" s="47"/>
      <c r="G52" s="48"/>
      <c r="H52" s="49"/>
      <c r="I52" s="50"/>
      <c r="J52" s="50"/>
      <c r="P52" s="54">
        <f t="shared" si="6"/>
        <v>0</v>
      </c>
      <c r="Q52" s="60">
        <f t="shared" si="8"/>
        <v>0</v>
      </c>
    </row>
    <row r="53" spans="1:17" s="51" customFormat="1" x14ac:dyDescent="0.3">
      <c r="A53" s="44">
        <v>50</v>
      </c>
      <c r="B53" s="45">
        <v>44960</v>
      </c>
      <c r="C53" s="46" t="s">
        <v>46</v>
      </c>
      <c r="D53" s="47"/>
      <c r="E53" s="46" t="s">
        <v>3</v>
      </c>
      <c r="F53" s="47"/>
      <c r="G53" s="48"/>
      <c r="H53" s="49"/>
      <c r="I53" s="50"/>
      <c r="J53" s="50"/>
      <c r="P53" s="54">
        <f t="shared" ref="P53:P54" si="9">D53-F53</f>
        <v>0</v>
      </c>
      <c r="Q53" s="60">
        <f t="shared" ref="Q53:Q54" si="10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2</v>
      </c>
      <c r="D54" s="47"/>
      <c r="E54" s="46" t="s">
        <v>4</v>
      </c>
      <c r="F54" s="47"/>
      <c r="G54" s="48"/>
      <c r="H54" s="49"/>
      <c r="I54" s="50"/>
      <c r="J54" s="50"/>
      <c r="P54" s="54">
        <f t="shared" si="9"/>
        <v>0</v>
      </c>
      <c r="Q54" s="60">
        <f t="shared" si="10"/>
        <v>0</v>
      </c>
    </row>
    <row r="55" spans="1:17" s="51" customFormat="1" x14ac:dyDescent="0.3">
      <c r="A55" s="44">
        <v>52</v>
      </c>
      <c r="B55" s="45">
        <v>44960</v>
      </c>
      <c r="C55" s="46" t="s">
        <v>48</v>
      </c>
      <c r="D55" s="47"/>
      <c r="E55" s="46" t="s">
        <v>25</v>
      </c>
      <c r="F55" s="47"/>
      <c r="G55" s="48"/>
      <c r="H55" s="49"/>
      <c r="I55" s="50"/>
      <c r="J55" s="50"/>
      <c r="P55" s="54">
        <f t="shared" ref="P55:P63" si="11">D55-F55</f>
        <v>0</v>
      </c>
      <c r="Q55" s="60">
        <f t="shared" ref="Q55:Q63" si="12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2</v>
      </c>
      <c r="D56" s="47"/>
      <c r="E56" s="46" t="s">
        <v>40</v>
      </c>
      <c r="F56" s="47"/>
      <c r="G56" s="48"/>
      <c r="H56" s="49"/>
      <c r="I56" s="50"/>
      <c r="J56" s="50"/>
      <c r="P56" s="54">
        <f t="shared" si="11"/>
        <v>0</v>
      </c>
      <c r="Q56" s="60">
        <f t="shared" si="12"/>
        <v>0</v>
      </c>
    </row>
    <row r="57" spans="1:17" s="51" customFormat="1" x14ac:dyDescent="0.3">
      <c r="A57" s="44">
        <v>54</v>
      </c>
      <c r="B57" s="45">
        <v>44962</v>
      </c>
      <c r="C57" s="46" t="s">
        <v>2</v>
      </c>
      <c r="D57" s="47"/>
      <c r="E57" s="46" t="s">
        <v>46</v>
      </c>
      <c r="F57" s="47"/>
      <c r="G57" s="48"/>
      <c r="H57" s="49"/>
      <c r="I57" s="50"/>
      <c r="J57" s="50"/>
      <c r="P57" s="54">
        <f t="shared" si="11"/>
        <v>0</v>
      </c>
      <c r="Q57" s="60">
        <f t="shared" si="12"/>
        <v>0</v>
      </c>
    </row>
    <row r="58" spans="1:17" s="51" customFormat="1" x14ac:dyDescent="0.3">
      <c r="A58" s="44">
        <v>55</v>
      </c>
      <c r="B58" s="45">
        <v>44962</v>
      </c>
      <c r="C58" s="46" t="s">
        <v>25</v>
      </c>
      <c r="D58" s="47"/>
      <c r="E58" s="46" t="s">
        <v>3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48</v>
      </c>
      <c r="D59" s="47"/>
      <c r="E59" s="46" t="s">
        <v>40</v>
      </c>
      <c r="F59" s="47"/>
      <c r="G59" s="48"/>
      <c r="H59" s="49"/>
      <c r="I59" s="50"/>
      <c r="J59" s="50"/>
      <c r="P59" s="54">
        <f t="shared" si="11"/>
        <v>0</v>
      </c>
      <c r="Q59" s="60">
        <f t="shared" si="12"/>
        <v>0</v>
      </c>
    </row>
    <row r="60" spans="1:17" s="51" customFormat="1" x14ac:dyDescent="0.3">
      <c r="A60" s="44">
        <v>57</v>
      </c>
      <c r="B60" s="45">
        <v>44967</v>
      </c>
      <c r="C60" s="46" t="s">
        <v>3</v>
      </c>
      <c r="D60" s="47"/>
      <c r="E60" s="46" t="s">
        <v>2</v>
      </c>
      <c r="F60" s="47"/>
      <c r="G60" s="48"/>
      <c r="H60" s="49"/>
      <c r="I60" s="50"/>
      <c r="J60" s="50"/>
      <c r="P60" s="54">
        <f t="shared" si="11"/>
        <v>0</v>
      </c>
      <c r="Q60" s="60">
        <f t="shared" si="12"/>
        <v>0</v>
      </c>
    </row>
    <row r="61" spans="1:17" s="51" customFormat="1" x14ac:dyDescent="0.3">
      <c r="A61" s="44">
        <v>58</v>
      </c>
      <c r="B61" s="45">
        <v>44967</v>
      </c>
      <c r="C61" s="46" t="s">
        <v>25</v>
      </c>
      <c r="D61" s="47"/>
      <c r="E61" s="46" t="s">
        <v>48</v>
      </c>
      <c r="F61" s="47"/>
      <c r="G61" s="48"/>
      <c r="H61" s="49"/>
      <c r="I61" s="50"/>
      <c r="J61" s="50"/>
      <c r="P61" s="54">
        <f t="shared" si="11"/>
        <v>0</v>
      </c>
      <c r="Q61" s="60">
        <f t="shared" si="12"/>
        <v>0</v>
      </c>
    </row>
    <row r="62" spans="1:17" s="51" customFormat="1" x14ac:dyDescent="0.3">
      <c r="A62" s="44">
        <v>59</v>
      </c>
      <c r="B62" s="45">
        <v>44967</v>
      </c>
      <c r="C62" s="46" t="s">
        <v>46</v>
      </c>
      <c r="D62" s="47"/>
      <c r="E62" s="46" t="s">
        <v>4</v>
      </c>
      <c r="F62" s="47"/>
      <c r="G62" s="48"/>
      <c r="H62" s="49"/>
      <c r="I62" s="50"/>
      <c r="J62" s="50"/>
      <c r="P62" s="54">
        <f t="shared" si="11"/>
        <v>0</v>
      </c>
      <c r="Q62" s="60">
        <f t="shared" si="12"/>
        <v>0</v>
      </c>
    </row>
    <row r="63" spans="1:17" s="51" customFormat="1" x14ac:dyDescent="0.3">
      <c r="A63" s="44">
        <v>60</v>
      </c>
      <c r="B63" s="45">
        <v>44968</v>
      </c>
      <c r="C63" s="46" t="s">
        <v>3</v>
      </c>
      <c r="D63" s="47"/>
      <c r="E63" s="46" t="s">
        <v>46</v>
      </c>
      <c r="F63" s="47"/>
      <c r="G63" s="48"/>
      <c r="H63" s="49"/>
      <c r="I63" s="50"/>
      <c r="J63" s="50"/>
      <c r="P63" s="54">
        <f t="shared" si="11"/>
        <v>0</v>
      </c>
      <c r="Q63" s="60">
        <f t="shared" si="12"/>
        <v>0</v>
      </c>
    </row>
    <row r="64" spans="1:17" s="51" customFormat="1" x14ac:dyDescent="0.3">
      <c r="A64" s="44">
        <v>61</v>
      </c>
      <c r="B64" s="45">
        <v>44968</v>
      </c>
      <c r="C64" s="46" t="s">
        <v>2</v>
      </c>
      <c r="D64" s="47"/>
      <c r="E64" s="46" t="s">
        <v>48</v>
      </c>
      <c r="F64" s="47"/>
      <c r="G64" s="48"/>
      <c r="H64" s="49"/>
      <c r="I64" s="50"/>
      <c r="J64" s="50"/>
      <c r="P64" s="54">
        <f t="shared" ref="P64:P65" si="13">D64-F64</f>
        <v>0</v>
      </c>
      <c r="Q64" s="60">
        <f t="shared" ref="Q64:Q65" si="14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4</v>
      </c>
      <c r="D65" s="47"/>
      <c r="E65" s="46" t="s">
        <v>25</v>
      </c>
      <c r="F65" s="47"/>
      <c r="G65" s="48"/>
      <c r="H65" s="49"/>
      <c r="I65" s="50"/>
      <c r="J65" s="50"/>
      <c r="P65" s="54">
        <f t="shared" si="13"/>
        <v>0</v>
      </c>
      <c r="Q65" s="60">
        <f t="shared" si="14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372</v>
      </c>
    </row>
    <row r="104" spans="1:10" x14ac:dyDescent="0.3">
      <c r="D104" s="1">
        <f>SUM(D3:D102)</f>
        <v>153</v>
      </c>
      <c r="F104" s="1">
        <f>SUM(F3:F102)</f>
        <v>219</v>
      </c>
    </row>
  </sheetData>
  <sortState xmlns:xlrd2="http://schemas.microsoft.com/office/spreadsheetml/2017/richdata2" ref="A44:U47">
    <sortCondition ref="B44:B47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2023-01-28T18:50:27Z</dcterms:modified>
</cp:coreProperties>
</file>