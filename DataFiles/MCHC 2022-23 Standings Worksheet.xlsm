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5502" documentId="8_{970098D5-2AA6-4EE8-9507-3C4E4A614472}" xr6:coauthVersionLast="47" xr6:coauthVersionMax="47" xr10:uidLastSave="{9096333E-EC32-438E-87A9-C397E5732CB7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Q65" i="1" s="1"/>
  <c r="P63" i="1"/>
  <c r="Q63" i="1" s="1"/>
  <c r="P60" i="1"/>
  <c r="Q60" i="1" s="1"/>
  <c r="P57" i="1"/>
  <c r="Q57" i="1" s="1"/>
  <c r="P56" i="1"/>
  <c r="Q56" i="1" s="1"/>
  <c r="P55" i="1"/>
  <c r="Q55" i="1" s="1"/>
  <c r="P64" i="1"/>
  <c r="Q64" i="1" s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 s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Q19" i="1" s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24" i="1"/>
  <c r="Q23" i="1"/>
  <c r="Q22" i="1"/>
  <c r="Q21" i="1"/>
  <c r="Q20" i="1"/>
  <c r="Q44" i="1"/>
  <c r="Q18" i="1"/>
  <c r="Q17" i="1"/>
  <c r="Q15" i="1"/>
  <c r="Q16" i="1"/>
  <c r="P14" i="1"/>
  <c r="Q14" i="1"/>
  <c r="P36" i="1"/>
  <c r="Q36" i="1" s="1"/>
  <c r="P13" i="1"/>
  <c r="Q13" i="1"/>
  <c r="P12" i="1"/>
  <c r="Q12" i="1" s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<sst xmlns="http://schemas.openxmlformats.org/spreadsheetml/2006/main" count="257" uniqueCount="72">
  <si>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</si>
  <si>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</si>
  <si>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</si>
  <si>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</si>
  <si>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</si>
  <si>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</si>
  <si>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</si>
  <si>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</si>
  <si>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</si>
  <si>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</si>
  <si>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</si>
  <si>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</si>
  <si>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</si>
  <si>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</si>
  <si>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</si>
  <si>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</si>
  <si>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</si>
  <si>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</si>
  <si>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</si>
  <si>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</si>
  <si>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</si>
  <si>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</si>
  <si>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</si>
  <si>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</si>
  <si>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</si>
  <si>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</si>
  <si>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</si>
  <si>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</si>
  <si>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</si>
  <si>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</si>
  <si>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</si>
  <si>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</si>
  <si>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</si>
  <si>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</si>
  <si>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</si>
  <si>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</si>
  <si>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</si>
  <si>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</si>
  <si>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</si>
  <si>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</si>
  <si>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</si>
  <si>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</si>
  <si>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</si>
  <si>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</si>
  <si>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</si>
  <si>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</si>
  <si>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</si>
  <si>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</si>
  <si>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</si>
  <si>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</si>
  <si>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</si>
  <si>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</si>
  <si>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</si>
  <si>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</si>
  <si>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STAC in OT/SO</t>
  </si>
  <si>
    <t>STAC (Away) Wins</t>
  </si>
  <si>
    <t>***</t>
  </si>
  <si>
    <t>Sacred Heart by Forfeit</t>
  </si>
  <si>
    <t>Columbia by Forfeit</t>
  </si>
  <si>
    <t>STAC by Forfeit</t>
  </si>
  <si>
    <t>Maritime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</si>
  <si>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</si>
  <si>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</si>
  <si>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</si>
  <si>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</si>
  <si>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</si>
  <si>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</si>
  <si>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</si>
  <si>
    <t>Maritime by Forfeit</t>
  </si>
  <si>
    <t>18-Game Season
Top 4 Teams Qualify for the Playoffs
CU &amp; WestConn is ineligible for Playoffs</t>
  </si>
  <si>
    <t>USMMA by Forfeit</t>
  </si>
  <si>
    <t>WestConn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</si>
</sst>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17</v>
      </c>
      <c r="F4" s="28">
        <v>1</v>
      </c>
      <c r="G4" s="28">
        <v>0</v>
      </c>
      <c r="H4" s="74">
        <v>34</v>
      </c>
      <c r="I4" s="28">
        <v>114</v>
      </c>
      <c r="J4" s="75">
        <v>23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18</v>
      </c>
      <c r="E5" s="28">
        <v>14</v>
      </c>
      <c r="F5" s="28">
        <v>4</v>
      </c>
      <c r="G5" s="28">
        <v>0</v>
      </c>
      <c r="H5" s="74">
        <v>28</v>
      </c>
      <c r="I5" s="28">
        <v>109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18</v>
      </c>
      <c r="E6" s="28">
        <v>10</v>
      </c>
      <c r="F6" s="28">
        <v>6</v>
      </c>
      <c r="G6" s="28">
        <v>2</v>
      </c>
      <c r="H6" s="74">
        <v>22</v>
      </c>
      <c r="I6" s="28">
        <v>65</v>
      </c>
      <c r="J6" s="75">
        <v>69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63</v>
      </c>
      <c r="D7" s="28">
        <v>18</v>
      </c>
      <c r="E7" s="28">
        <v>9</v>
      </c>
      <c r="F7" s="28">
        <v>9</v>
      </c>
      <c r="G7" s="28">
        <v>0</v>
      </c>
      <c r="H7" s="74">
        <v>18</v>
      </c>
      <c r="I7" s="28">
        <v>50</v>
      </c>
      <c r="J7" s="75">
        <v>69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43</v>
      </c>
      <c r="D8" s="28">
        <v>18</v>
      </c>
      <c r="E8" s="28">
        <v>8</v>
      </c>
      <c r="F8" s="28">
        <v>10</v>
      </c>
      <c r="G8" s="28">
        <v>0</v>
      </c>
      <c r="H8" s="74">
        <v>16</v>
      </c>
      <c r="I8" s="28">
        <v>58</v>
      </c>
      <c r="J8" s="75">
        <v>93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45</v>
      </c>
      <c r="D9" s="28">
        <v>17</v>
      </c>
      <c r="E9" s="28">
        <v>4</v>
      </c>
      <c r="F9" s="28">
        <v>13</v>
      </c>
      <c r="G9" s="28">
        <v>0</v>
      </c>
      <c r="H9" s="74">
        <v>8</v>
      </c>
      <c r="I9" s="28">
        <v>34</v>
      </c>
      <c r="J9" s="75">
        <v>66</v>
      </c>
      <c r="K9" s="81"/>
    </row>
    <row r="10" spans="1:16" ht="18" customHeight="1" x14ac:dyDescent="0.3">
      <c r="A10" s="81"/>
      <c r="B10" s="69">
        <v>7</v>
      </c>
      <c r="C10" s="73" t="s">
        <v>3</v>
      </c>
      <c r="D10" s="28">
        <v>17</v>
      </c>
      <c r="E10" s="28">
        <v>0</v>
      </c>
      <c r="F10" s="28">
        <v>16</v>
      </c>
      <c r="G10" s="28">
        <v>1</v>
      </c>
      <c r="H10" s="74">
        <v>1</v>
      </c>
      <c r="I10" s="28">
        <v>29</v>
      </c>
      <c r="J10" s="75">
        <v>81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62</v>
      </c>
    </row>
    <row r="13" spans="1:16" ht="16.2" thickTop="1" x14ac:dyDescent="0.3">
      <c r="A13" s="1"/>
      <c r="B13" s="68"/>
      <c r="C13" s="84" t="s">
        <v>67</v>
      </c>
      <c r="D13" s="85"/>
      <c r="E13" s="85"/>
      <c r="F13" s="85"/>
      <c r="G13" s="82" cm="1">
        <f t="array" aca="1" ref="G13" ca="1">LastModified()</f>
        <v>44972.422118055554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69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459</v>
      </c>
      <c r="J15" s="7">
        <f>SUM(J4:J12)</f>
        <v>459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52" zoomScaleNormal="100" workbookViewId="0">
      <selection activeCell="A65" sqref="A65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62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21</v>
      </c>
      <c r="U3" s="56">
        <f>IF($T$2&gt;0, T3/$T$2, 0)</f>
        <v>0.33870967741935482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56</v>
      </c>
      <c r="H4" s="49" t="s">
        <v>57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0.12903225806451613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11</v>
      </c>
      <c r="U5" s="56">
        <f>IF($T$2&gt;0, T5/$T$2, 0)</f>
        <v>0.17741935483870969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63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4.8387096774193547E-2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19</v>
      </c>
      <c r="U7" s="59">
        <f>IF($T$2&gt;0, T7/$T$2, 0)</f>
        <v>0.30645161290322581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0</v>
      </c>
      <c r="E12" s="46" t="s">
        <v>38</v>
      </c>
      <c r="F12" s="47">
        <v>1</v>
      </c>
      <c r="G12" s="48" t="s">
        <v>56</v>
      </c>
      <c r="H12" s="49" t="s">
        <v>57</v>
      </c>
      <c r="I12" s="50">
        <v>1</v>
      </c>
      <c r="J12" s="50">
        <v>3</v>
      </c>
      <c r="P12" s="54">
        <f t="shared" ref="P12:P18" si="2">D12-F12</f>
        <v>-1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54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55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/>
      <c r="E19" s="46" t="s">
        <v>45</v>
      </c>
      <c r="F19" s="47"/>
      <c r="G19" s="48"/>
      <c r="H19" s="49" t="s">
        <v>58</v>
      </c>
      <c r="I19" s="50">
        <v>1</v>
      </c>
      <c r="J19" s="50">
        <v>7</v>
      </c>
      <c r="P19" s="54">
        <f t="shared" ref="P19:P43" si="4">D19-F19</f>
        <v>0</v>
      </c>
      <c r="Q19" s="60">
        <f t="shared" ref="Q19:Q43" si="5">ABS(P19)</f>
        <v>0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56</v>
      </c>
      <c r="H24" s="49" t="s">
        <v>59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63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63</v>
      </c>
      <c r="D28" s="47">
        <v>7</v>
      </c>
      <c r="E28" s="46" t="s">
        <v>45</v>
      </c>
      <c r="F28" s="47">
        <v>3</v>
      </c>
      <c r="G28" s="48"/>
      <c r="H28" s="49" t="s">
        <v>64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63</v>
      </c>
      <c r="F32" s="47">
        <v>6</v>
      </c>
      <c r="G32" s="48"/>
      <c r="H32" s="49" t="s">
        <v>65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63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1</v>
      </c>
      <c r="E36" s="46" t="s">
        <v>3</v>
      </c>
      <c r="F36" s="47">
        <v>0</v>
      </c>
      <c r="G36" s="48" t="s">
        <v>56</v>
      </c>
      <c r="H36" s="49" t="s">
        <v>71</v>
      </c>
      <c r="I36" s="50">
        <v>7</v>
      </c>
      <c r="J36" s="50">
        <v>1</v>
      </c>
      <c r="P36" s="54">
        <f t="shared" si="4"/>
        <v>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63</v>
      </c>
      <c r="D37" s="47">
        <v>5</v>
      </c>
      <c r="E37" s="46" t="s">
        <v>3</v>
      </c>
      <c r="F37" s="47">
        <v>4</v>
      </c>
      <c r="G37" s="48"/>
      <c r="H37" s="49" t="s">
        <v>64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0</v>
      </c>
      <c r="E39" s="46" t="s">
        <v>63</v>
      </c>
      <c r="F39" s="47">
        <v>1</v>
      </c>
      <c r="G39" s="48" t="s">
        <v>56</v>
      </c>
      <c r="H39" s="49" t="s">
        <v>70</v>
      </c>
      <c r="I39" s="50">
        <v>1</v>
      </c>
      <c r="J39" s="50">
        <v>6</v>
      </c>
      <c r="P39" s="54">
        <f t="shared" si="4"/>
        <v>-1</v>
      </c>
      <c r="Q39" s="60">
        <f t="shared" si="5"/>
        <v>1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63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1</v>
      </c>
      <c r="E41" s="46" t="s">
        <v>3</v>
      </c>
      <c r="F41" s="47">
        <v>0</v>
      </c>
      <c r="G41" s="48" t="s">
        <v>56</v>
      </c>
      <c r="H41" s="49" t="s">
        <v>71</v>
      </c>
      <c r="I41" s="50">
        <v>7</v>
      </c>
      <c r="J41" s="50">
        <v>1</v>
      </c>
      <c r="P41" s="54">
        <f t="shared" si="4"/>
        <v>1</v>
      </c>
      <c r="Q41" s="60">
        <f t="shared" si="5"/>
        <v>1</v>
      </c>
    </row>
    <row r="42" spans="1:17" s="51" customFormat="1" x14ac:dyDescent="0.3">
      <c r="A42" s="44">
        <v>41</v>
      </c>
      <c r="B42" s="45">
        <v>44939</v>
      </c>
      <c r="C42" s="46" t="s">
        <v>63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63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60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63</v>
      </c>
      <c r="F45" s="47">
        <v>5</v>
      </c>
      <c r="G45" s="48"/>
      <c r="H45" s="49" t="s">
        <v>65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63</v>
      </c>
      <c r="F46" s="47">
        <v>6</v>
      </c>
      <c r="G46" s="48"/>
      <c r="H46" s="49" t="s">
        <v>65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1</v>
      </c>
      <c r="E47" s="46" t="s">
        <v>3</v>
      </c>
      <c r="F47" s="47">
        <v>0</v>
      </c>
      <c r="G47" s="48" t="s">
        <v>56</v>
      </c>
      <c r="H47" s="49" t="s">
        <v>57</v>
      </c>
      <c r="I47" s="50">
        <v>3</v>
      </c>
      <c r="J47" s="50">
        <v>1</v>
      </c>
      <c r="P47" s="54">
        <f>D47-F47</f>
        <v>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63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61</v>
      </c>
      <c r="H49" s="49" t="s">
        <v>62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66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63</v>
      </c>
      <c r="D51" s="47">
        <v>3</v>
      </c>
      <c r="E51" s="46" t="s">
        <v>2</v>
      </c>
      <c r="F51" s="47">
        <v>0</v>
      </c>
      <c r="G51" s="48"/>
      <c r="H51" s="49" t="s">
        <v>64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63</v>
      </c>
      <c r="D54" s="47">
        <v>1</v>
      </c>
      <c r="E54" s="46" t="s">
        <v>3</v>
      </c>
      <c r="F54" s="47">
        <v>0</v>
      </c>
      <c r="G54" s="48" t="s">
        <v>56</v>
      </c>
      <c r="H54" s="49" t="s">
        <v>70</v>
      </c>
      <c r="I54" s="50">
        <v>6</v>
      </c>
      <c r="J54" s="50">
        <v>1</v>
      </c>
      <c r="P54" s="54">
        <f t="shared" si="9"/>
        <v>1</v>
      </c>
      <c r="Q54" s="60">
        <f t="shared" si="10"/>
        <v>1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63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63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63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56</v>
      </c>
      <c r="H62" s="49" t="s">
        <v>59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>
        <v>9</v>
      </c>
      <c r="E63" s="46" t="s">
        <v>43</v>
      </c>
      <c r="F63" s="47">
        <v>6</v>
      </c>
      <c r="G63" s="48"/>
      <c r="H63" s="49" t="s">
        <v>48</v>
      </c>
      <c r="I63" s="50">
        <v>5</v>
      </c>
      <c r="J63" s="50">
        <v>4</v>
      </c>
      <c r="P63" s="54">
        <f t="shared" si="11"/>
        <v>3</v>
      </c>
      <c r="Q63" s="60">
        <f t="shared" si="12"/>
        <v>3</v>
      </c>
    </row>
    <row r="64" spans="1:17" s="51" customFormat="1" x14ac:dyDescent="0.3">
      <c r="A64" s="44">
        <v>61</v>
      </c>
      <c r="B64" s="45">
        <v>44968</v>
      </c>
      <c r="C64" s="46" t="s">
        <v>63</v>
      </c>
      <c r="D64" s="47">
        <v>5</v>
      </c>
      <c r="E64" s="46" t="s">
        <v>45</v>
      </c>
      <c r="F64" s="47">
        <v>3</v>
      </c>
      <c r="G64" s="48"/>
      <c r="H64" s="49" t="s">
        <v>64</v>
      </c>
      <c r="I64" s="50">
        <v>6</v>
      </c>
      <c r="J64" s="50">
        <v>7</v>
      </c>
      <c r="P64" s="54">
        <f t="shared" ref="P64:P65" si="13">D64-F64</f>
        <v>2</v>
      </c>
      <c r="Q64" s="60">
        <f t="shared" ref="Q64:Q65" si="14">ABS(P64)</f>
        <v>2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>
        <v>0</v>
      </c>
      <c r="E65" s="46" t="s">
        <v>23</v>
      </c>
      <c r="F65" s="47">
        <v>1</v>
      </c>
      <c r="G65" s="48" t="s">
        <v>56</v>
      </c>
      <c r="H65" s="49" t="s">
        <v>68</v>
      </c>
      <c r="I65" s="50">
        <v>1</v>
      </c>
      <c r="J65" s="50">
        <v>2</v>
      </c>
      <c r="P65" s="54">
        <f t="shared" si="13"/>
        <v>-1</v>
      </c>
      <c r="Q65" s="60">
        <f t="shared" si="14"/>
        <v>1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459</v>
      </c>
    </row>
    <row r="104" spans="1:10" x14ac:dyDescent="0.3">
      <c r="D104" s="1">
        <f>SUM(D3:D102)</f>
        <v>195</v>
      </c>
      <c r="F104" s="1">
        <f>SUM(F3:F102)</f>
        <v>264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2023-02-15T15:08:12Z</dcterms:modified>
</cp:coreProperties>
</file>