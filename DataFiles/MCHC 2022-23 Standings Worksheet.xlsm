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83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99f8723705ec823/Webmaster/methockey/DataFiles/"/>
    </mc:Choice>
  </mc:AlternateContent>
  <xr:revisionPtr revIDLastSave="11926" documentId="8_{970098D5-2AA6-4EE8-9507-3C4E4A614472}" xr6:coauthVersionLast="47" xr6:coauthVersionMax="47" xr10:uidLastSave="{6BAC1179-C8C4-4F24-88AD-B1C253F97C85}"/>
  <bookViews>
    <workbookView xWindow="-108" yWindow="-108" windowWidth="23256" windowHeight="12456" xr2:uid="{00000000-000D-0000-FFFF-FFFF00000000}"/>
  </bookViews>
  <sheets>
    <sheet name="Standings" sheetId="2" r:id="rId1"/>
    <sheet name="Old Results" sheetId="1" r:id="rId2"/>
  </sheets>
  <functionGroups builtInGroupCount="19"/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O24" i="1" l="1"/>
  <c r="N23" i="1"/>
  <c r="P58" i="1"/>
  <c r="Q58" i="1" s="1"/>
  <c r="P65" i="1"/>
  <c r="P63" i="1"/>
  <c r="P60" i="1"/>
  <c r="P57" i="1"/>
  <c r="P56" i="1"/>
  <c r="P55" i="1"/>
  <c r="P64" i="1"/>
  <c r="Q64" i="1" s="1"/>
  <c r="P54" i="1"/>
  <c r="Q54" i="1" s="1"/>
  <c r="P61" i="1"/>
  <c r="Q61" i="1" s="1"/>
  <c r="P59" i="1"/>
  <c r="Q59" i="1" s="1"/>
  <c r="P53" i="1"/>
  <c r="Q53" i="1" s="1"/>
  <c r="P62" i="1"/>
  <c r="Q62" i="1" s="1"/>
  <c r="P52" i="1"/>
  <c r="Q52" i="1" s="1"/>
  <c r="P51" i="1"/>
  <c r="Q51" i="1" s="1"/>
  <c r="P50" i="1"/>
  <c r="Q50" i="1" s="1"/>
  <c r="P49" i="1"/>
  <c r="Q49" i="1" s="1"/>
  <c r="P48" i="1"/>
  <c r="Q48" i="1" s="1"/>
  <c r="P46" i="1"/>
  <c r="Q46" i="1" s="1"/>
  <c r="P45" i="1"/>
  <c r="Q45" i="1" s="1"/>
  <c r="P43" i="1"/>
  <c r="Q43" i="1" s="1"/>
  <c r="P44" i="1"/>
  <c r="Q44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5" i="1"/>
  <c r="Q35" i="1" s="1"/>
  <c r="P34" i="1"/>
  <c r="Q34" i="1" s="1"/>
  <c r="P33" i="1"/>
  <c r="Q33" i="1" s="1"/>
  <c r="P32" i="1"/>
  <c r="Q32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P23" i="1"/>
  <c r="P22" i="1"/>
  <c r="P21" i="1"/>
  <c r="P20" i="1"/>
  <c r="P19" i="1"/>
  <c r="P47" i="1"/>
  <c r="P18" i="1"/>
  <c r="P17" i="1"/>
  <c r="P16" i="1"/>
  <c r="P15" i="1"/>
  <c r="I15" i="2"/>
  <c r="J15" i="2"/>
  <c r="P3" i="1"/>
  <c r="Q3" i="1" s="1"/>
  <c r="P4" i="1"/>
  <c r="Q4" i="1" s="1"/>
  <c r="P5" i="1"/>
  <c r="Q5" i="1" s="1"/>
  <c r="P6" i="1"/>
  <c r="Q6" i="1" s="1"/>
  <c r="P7" i="1"/>
  <c r="Q7" i="1" s="1"/>
  <c r="G13" i="2" a="1"/>
  <c r="G13" i="2" l="1"/>
  <c r="T1" i="1"/>
  <c r="Q65" i="1" l="1"/>
  <c r="Q63" i="1"/>
  <c r="Q60" i="1"/>
  <c r="Q55" i="1"/>
  <c r="Q57" i="1"/>
  <c r="Q56" i="1"/>
  <c r="Q24" i="1"/>
  <c r="Q23" i="1"/>
  <c r="Q22" i="1"/>
  <c r="Q21" i="1"/>
  <c r="Q20" i="1"/>
  <c r="Q19" i="1"/>
  <c r="Q47" i="1"/>
  <c r="Q18" i="1"/>
  <c r="Q17" i="1"/>
  <c r="Q15" i="1"/>
  <c r="Q16" i="1"/>
  <c r="P14" i="1"/>
  <c r="Q14" i="1" s="1"/>
  <c r="P36" i="1"/>
  <c r="Q36" i="1" s="1"/>
  <c r="P13" i="1"/>
  <c r="Q13" i="1" s="1"/>
  <c r="P12" i="1"/>
  <c r="Q12" i="1" s="1"/>
  <c r="P31" i="1"/>
  <c r="Q31" i="1" s="1"/>
  <c r="P11" i="1"/>
  <c r="Q11" i="1" s="1"/>
  <c r="P10" i="1"/>
  <c r="Q10" i="1" s="1"/>
  <c r="P9" i="1"/>
  <c r="Q9" i="1" s="1"/>
  <c r="P8" i="1"/>
  <c r="Q8" i="1" s="1"/>
  <c r="T4" i="1" l="1"/>
  <c r="T6" i="1"/>
  <c r="T7" i="1"/>
  <c r="T5" i="1"/>
  <c r="T3" i="1"/>
  <c r="F104" i="1"/>
  <c r="D104" i="1"/>
  <c r="T2" i="1" l="1"/>
  <c r="H103" i="1"/>
  <c r="U7" i="1" l="1"/>
  <c r="U6" i="1"/>
  <c r="U5" i="1"/>
  <c r="U3" i="1"/>
  <c r="U4" i="1"/>
  <c r="U8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<sst xmlns="http://schemas.openxmlformats.org/spreadsheetml/2006/main" count="222" uniqueCount="68">
  <si>
    <t>Home</t>
  </si>
  <si>
    <t>Away</t>
  </si>
  <si>
    <t>Kings Point</t>
  </si>
  <si>
    <t>Stevens</t>
  </si>
  <si>
    <t>Columbia</t>
  </si>
  <si>
    <t>Team</t>
  </si>
  <si>
    <t>GF</t>
  </si>
  <si>
    <t>GA</t>
  </si>
  <si>
    <t>Date</t>
  </si>
  <si>
    <t>#</t>
  </si>
  <si>
    <t>A</t>
  </si>
  <si>
    <t>H</t>
  </si>
  <si>
    <t>Res</t>
  </si>
  <si>
    <t>Steps to update Standings</t>
  </si>
  <si>
    <t>Update completed games scoring</t>
  </si>
  <si>
    <t>Update last game played</t>
  </si>
  <si>
    <t>Execute CalcStandings macro</t>
  </si>
  <si>
    <t>["^" = assending and "v" = decending]</t>
  </si>
  <si>
    <t>Sort Teams based upon PTS(v), GP(^), Wins(v), &amp; GA(^)</t>
  </si>
  <si>
    <t>LAST GAME PLAYED:</t>
  </si>
  <si>
    <t>Copy MCHC Standings to web page!</t>
  </si>
  <si>
    <t>Checks=</t>
  </si>
  <si>
    <t>STEVENS</t>
  </si>
  <si>
    <t>COLUMBIA</t>
  </si>
  <si>
    <t>KINGS POINT</t>
  </si>
  <si>
    <t>Maritime</t>
  </si>
  <si>
    <t>MARITIME</t>
  </si>
  <si>
    <t>W</t>
  </si>
  <si>
    <t>L</t>
  </si>
  <si>
    <t>G</t>
  </si>
  <si>
    <t>Goal Diff</t>
  </si>
  <si>
    <t>ABS</t>
  </si>
  <si>
    <t>5+</t>
  </si>
  <si>
    <t>Goal Differential</t>
  </si>
  <si>
    <t>S1</t>
  </si>
  <si>
    <t>S2</t>
  </si>
  <si>
    <t>CH</t>
  </si>
  <si>
    <t>Total Games Scheduled:</t>
  </si>
  <si>
    <t>Games Played:</t>
  </si>
  <si>
    <t>SACRED HEART</t>
  </si>
  <si>
    <t>Sacred Heart</t>
  </si>
  <si>
    <t>*Team list needs to be in ABC order</t>
  </si>
  <si>
    <t>Standings as of:</t>
  </si>
  <si>
    <t>OL</t>
  </si>
  <si>
    <t>Pts</t>
  </si>
  <si>
    <t>2022-23 MCHC Playoffs</t>
  </si>
  <si>
    <t>STAC</t>
  </si>
  <si>
    <t>WESTCONN</t>
  </si>
  <si>
    <t>WestConn</t>
  </si>
  <si>
    <t>Sacred Heart (Home) Wins</t>
  </si>
  <si>
    <t>Sacred Heart (Away) Wins</t>
  </si>
  <si>
    <t>Stevens (Away) Wins</t>
  </si>
  <si>
    <t>Maritime (Home) Wins</t>
  </si>
  <si>
    <t>Stevens (Home) Wins</t>
  </si>
  <si>
    <t>STAC (Home) Wins</t>
  </si>
  <si>
    <t>Maritime (Away) Wins</t>
  </si>
  <si>
    <t>*</t>
  </si>
  <si>
    <t>Columbia (Away) Wins</t>
  </si>
  <si>
    <t>STAC in OT/SO</t>
  </si>
  <si>
    <t>STAC (Away) Wins</t>
  </si>
  <si>
    <t>Kings Point (Away) Wins</t>
  </si>
  <si>
    <t>***</t>
  </si>
  <si>
    <t>Sacred Heart by Forfeit</t>
  </si>
  <si>
    <t>Columbia by Forfeit</t>
  </si>
  <si>
    <t>STAC by Forfeit</t>
  </si>
  <si>
    <t>18-Game Season
Top 4 Teams Qualify for the Playoffs
WestConn is ineligible for Playoffs</t>
  </si>
  <si>
    <t>Kings Point (Home) Wins</t>
  </si>
  <si>
    <t>Columbia (Home) Wins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</si>
</sst>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yy;@"/>
  </numFmts>
  <fonts count="2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u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000000"/>
      <name val="Arial Rounded MT Bold"/>
      <family val="2"/>
    </font>
    <font>
      <sz val="10"/>
      <name val="Courier New"/>
      <family val="3"/>
    </font>
    <font>
      <b/>
      <sz val="10"/>
      <name val="Courier New"/>
      <family val="3"/>
    </font>
    <font>
      <sz val="9"/>
      <name val="Arial Rounded MT Bold"/>
      <family val="2"/>
    </font>
    <font>
      <sz val="9"/>
      <name val="Arial"/>
      <family val="2"/>
    </font>
    <font>
      <sz val="20"/>
      <color theme="0"/>
      <name val="Verdana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Courier New"/>
      <family val="3"/>
    </font>
    <font>
      <sz val="9"/>
      <color rgb="FF000000"/>
      <name val="Arial Rounded MT Bold"/>
      <family val="2"/>
    </font>
    <font>
      <sz val="9"/>
      <name val="Calibri"/>
      <family val="2"/>
      <scheme val="minor"/>
    </font>
    <font>
      <b/>
      <sz val="11"/>
      <color theme="3" tint="-0.249977111117893"/>
      <name val="Calibri"/>
      <family val="2"/>
    </font>
    <font>
      <sz val="11"/>
      <color theme="3" tint="-0.249977111117893"/>
      <name val="Calibri"/>
      <family val="2"/>
      <scheme val="minor"/>
    </font>
    <font>
      <sz val="10"/>
      <color theme="3" tint="-0.249977111117893"/>
      <name val="Arial"/>
      <family val="2"/>
    </font>
    <font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3" tint="-0.249977111117893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</fills>
  <borders count="33">
    <border>
      <left/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9" fontId="11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97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2" borderId="0" xfId="0" applyFont="1" applyFill="1" applyAlignment="1">
      <alignment horizontal="center"/>
    </xf>
    <xf numFmtId="1" fontId="2" fillId="0" borderId="0" xfId="0" applyNumberFormat="1" applyFont="1" applyAlignment="1">
      <alignment horizontal="center" vertical="center"/>
    </xf>
    <xf numFmtId="0" fontId="0" fillId="0" borderId="1" xfId="0" applyBorder="1"/>
    <xf numFmtId="0" fontId="0" fillId="0" borderId="2" xfId="0" applyBorder="1"/>
    <xf numFmtId="1" fontId="0" fillId="0" borderId="0" xfId="0" applyNumberFormat="1"/>
    <xf numFmtId="0" fontId="5" fillId="0" borderId="3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/>
    </xf>
    <xf numFmtId="0" fontId="6" fillId="0" borderId="3" xfId="0" applyFont="1" applyBorder="1"/>
    <xf numFmtId="0" fontId="6" fillId="0" borderId="3" xfId="0" applyFont="1" applyBorder="1" applyAlignment="1">
      <alignment horizontal="center"/>
    </xf>
    <xf numFmtId="0" fontId="7" fillId="0" borderId="3" xfId="0" applyFont="1" applyBorder="1" applyAlignment="1">
      <alignment horizontal="center"/>
    </xf>
    <xf numFmtId="0" fontId="0" fillId="0" borderId="3" xfId="0" applyBorder="1"/>
    <xf numFmtId="0" fontId="0" fillId="0" borderId="3" xfId="0" applyBorder="1" applyAlignment="1">
      <alignment horizontal="center"/>
    </xf>
    <xf numFmtId="164" fontId="6" fillId="0" borderId="3" xfId="0" applyNumberFormat="1" applyFont="1" applyBorder="1" applyAlignment="1">
      <alignment horizontal="center"/>
    </xf>
    <xf numFmtId="164" fontId="5" fillId="0" borderId="3" xfId="0" applyNumberFormat="1" applyFont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0" fontId="0" fillId="0" borderId="6" xfId="0" applyBorder="1"/>
    <xf numFmtId="0" fontId="0" fillId="0" borderId="7" xfId="0" applyBorder="1"/>
    <xf numFmtId="0" fontId="12" fillId="3" borderId="10" xfId="0" applyFont="1" applyFill="1" applyBorder="1"/>
    <xf numFmtId="0" fontId="12" fillId="3" borderId="11" xfId="0" applyFont="1" applyFill="1" applyBorder="1"/>
    <xf numFmtId="0" fontId="12" fillId="3" borderId="15" xfId="0" applyFont="1" applyFill="1" applyBorder="1"/>
    <xf numFmtId="0" fontId="12" fillId="3" borderId="16" xfId="0" applyFont="1" applyFill="1" applyBorder="1"/>
    <xf numFmtId="0" fontId="15" fillId="0" borderId="0" xfId="0" applyFont="1" applyAlignment="1">
      <alignment horizontal="center"/>
    </xf>
    <xf numFmtId="0" fontId="16" fillId="0" borderId="3" xfId="0" applyFont="1" applyBorder="1" applyAlignment="1">
      <alignment horizontal="center"/>
    </xf>
    <xf numFmtId="0" fontId="17" fillId="0" borderId="3" xfId="0" applyFont="1" applyBorder="1" applyAlignment="1">
      <alignment horizontal="center" vertical="center" wrapText="1"/>
    </xf>
    <xf numFmtId="0" fontId="0" fillId="4" borderId="0" xfId="0" applyFill="1"/>
    <xf numFmtId="1" fontId="21" fillId="2" borderId="5" xfId="0" applyNumberFormat="1" applyFont="1" applyFill="1" applyBorder="1" applyAlignment="1">
      <alignment horizontal="center" vertical="center"/>
    </xf>
    <xf numFmtId="0" fontId="0" fillId="0" borderId="22" xfId="0" applyBorder="1"/>
    <xf numFmtId="0" fontId="7" fillId="0" borderId="26" xfId="0" applyFont="1" applyBorder="1" applyAlignment="1">
      <alignment horizontal="center"/>
    </xf>
    <xf numFmtId="164" fontId="6" fillId="0" borderId="26" xfId="0" applyNumberFormat="1" applyFont="1" applyBorder="1" applyAlignment="1">
      <alignment horizontal="center"/>
    </xf>
    <xf numFmtId="0" fontId="16" fillId="0" borderId="26" xfId="0" applyFont="1" applyBorder="1" applyAlignment="1">
      <alignment horizontal="center"/>
    </xf>
    <xf numFmtId="0" fontId="6" fillId="0" borderId="26" xfId="0" applyFont="1" applyBorder="1" applyAlignment="1">
      <alignment horizontal="center"/>
    </xf>
    <xf numFmtId="0" fontId="6" fillId="0" borderId="26" xfId="0" applyFont="1" applyBorder="1"/>
    <xf numFmtId="0" fontId="8" fillId="0" borderId="0" xfId="0" applyFont="1" applyAlignment="1">
      <alignment horizontal="center"/>
    </xf>
    <xf numFmtId="164" fontId="8" fillId="0" borderId="0" xfId="0" applyNumberFormat="1" applyFont="1" applyAlignment="1">
      <alignment horizontal="center"/>
    </xf>
    <xf numFmtId="0" fontId="9" fillId="0" borderId="0" xfId="0" applyFont="1"/>
    <xf numFmtId="0" fontId="13" fillId="3" borderId="9" xfId="0" applyFont="1" applyFill="1" applyBorder="1" applyAlignment="1">
      <alignment horizontal="center"/>
    </xf>
    <xf numFmtId="0" fontId="12" fillId="3" borderId="9" xfId="0" applyFont="1" applyFill="1" applyBorder="1" applyAlignment="1">
      <alignment horizontal="center"/>
    </xf>
    <xf numFmtId="164" fontId="12" fillId="3" borderId="10" xfId="0" applyNumberFormat="1" applyFont="1" applyFill="1" applyBorder="1" applyAlignment="1">
      <alignment horizontal="center"/>
    </xf>
    <xf numFmtId="0" fontId="12" fillId="3" borderId="10" xfId="0" applyFont="1" applyFill="1" applyBorder="1" applyAlignment="1">
      <alignment horizontal="center"/>
    </xf>
    <xf numFmtId="0" fontId="4" fillId="0" borderId="0" xfId="0" applyFont="1" applyAlignment="1">
      <alignment horizontal="right"/>
    </xf>
    <xf numFmtId="0" fontId="22" fillId="2" borderId="14" xfId="0" applyFont="1" applyFill="1" applyBorder="1" applyAlignment="1">
      <alignment vertical="center" wrapText="1"/>
    </xf>
    <xf numFmtId="0" fontId="8" fillId="0" borderId="27" xfId="0" applyFont="1" applyBorder="1" applyAlignment="1">
      <alignment horizontal="center" vertical="center"/>
    </xf>
    <xf numFmtId="164" fontId="8" fillId="0" borderId="3" xfId="0" applyNumberFormat="1" applyFont="1" applyBorder="1" applyAlignment="1">
      <alignment horizontal="center" vertical="center"/>
    </xf>
    <xf numFmtId="0" fontId="18" fillId="0" borderId="3" xfId="2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9" fillId="0" borderId="28" xfId="0" applyFont="1" applyBorder="1" applyAlignment="1">
      <alignment vertical="center"/>
    </xf>
    <xf numFmtId="0" fontId="0" fillId="0" borderId="22" xfId="0" applyBorder="1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4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17" xfId="0" applyBorder="1" applyAlignment="1">
      <alignment vertical="center"/>
    </xf>
    <xf numFmtId="0" fontId="0" fillId="0" borderId="12" xfId="0" applyBorder="1" applyAlignment="1">
      <alignment vertical="center"/>
    </xf>
    <xf numFmtId="10" fontId="0" fillId="0" borderId="13" xfId="1" applyNumberFormat="1" applyFont="1" applyBorder="1" applyAlignment="1">
      <alignment vertical="center"/>
    </xf>
    <xf numFmtId="0" fontId="0" fillId="0" borderId="14" xfId="0" quotePrefix="1" applyBorder="1" applyAlignment="1">
      <alignment horizontal="right" vertical="center"/>
    </xf>
    <xf numFmtId="0" fontId="0" fillId="0" borderId="15" xfId="0" applyBorder="1" applyAlignment="1">
      <alignment vertical="center"/>
    </xf>
    <xf numFmtId="10" fontId="0" fillId="0" borderId="16" xfId="1" applyNumberFormat="1" applyFont="1" applyBorder="1" applyAlignment="1">
      <alignment vertical="center"/>
    </xf>
    <xf numFmtId="0" fontId="0" fillId="0" borderId="18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9" fontId="0" fillId="0" borderId="0" xfId="0" applyNumberFormat="1" applyAlignment="1">
      <alignment vertical="center"/>
    </xf>
    <xf numFmtId="0" fontId="8" fillId="0" borderId="29" xfId="0" applyFont="1" applyBorder="1" applyAlignment="1">
      <alignment horizontal="center" vertical="center"/>
    </xf>
    <xf numFmtId="164" fontId="8" fillId="0" borderId="30" xfId="0" applyNumberFormat="1" applyFont="1" applyBorder="1" applyAlignment="1">
      <alignment horizontal="center" vertical="center"/>
    </xf>
    <xf numFmtId="0" fontId="18" fillId="0" borderId="30" xfId="2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  <xf numFmtId="0" fontId="9" fillId="0" borderId="31" xfId="0" applyFont="1" applyBorder="1" applyAlignment="1">
      <alignment vertical="center"/>
    </xf>
    <xf numFmtId="14" fontId="23" fillId="2" borderId="24" xfId="0" applyNumberFormat="1" applyFont="1" applyFill="1" applyBorder="1" applyAlignment="1">
      <alignment vertical="center"/>
    </xf>
    <xf numFmtId="0" fontId="20" fillId="2" borderId="0" xfId="0" applyFont="1" applyFill="1" applyAlignment="1">
      <alignment horizontal="center" vertical="center"/>
    </xf>
    <xf numFmtId="0" fontId="13" fillId="3" borderId="6" xfId="0" applyFont="1" applyFill="1" applyBorder="1" applyAlignment="1">
      <alignment horizontal="center"/>
    </xf>
    <xf numFmtId="0" fontId="13" fillId="3" borderId="7" xfId="0" applyFont="1" applyFill="1" applyBorder="1" applyAlignment="1">
      <alignment horizontal="center"/>
    </xf>
    <xf numFmtId="0" fontId="13" fillId="3" borderId="23" xfId="0" applyFont="1" applyFill="1" applyBorder="1" applyAlignment="1">
      <alignment horizontal="center"/>
    </xf>
    <xf numFmtId="0" fontId="19" fillId="2" borderId="32" xfId="0" applyFont="1" applyFill="1" applyBorder="1" applyAlignment="1">
      <alignment horizontal="center" vertical="center"/>
    </xf>
    <xf numFmtId="1" fontId="24" fillId="2" borderId="5" xfId="0" applyNumberFormat="1" applyFont="1" applyFill="1" applyBorder="1" applyAlignment="1">
      <alignment horizontal="center" vertical="center"/>
    </xf>
    <xf numFmtId="1" fontId="21" fillId="2" borderId="22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14" fontId="23" fillId="2" borderId="8" xfId="0" applyNumberFormat="1" applyFont="1" applyFill="1" applyBorder="1" applyAlignment="1">
      <alignment horizontal="left" vertical="center"/>
    </xf>
    <xf numFmtId="14" fontId="23" fillId="2" borderId="21" xfId="0" applyNumberFormat="1" applyFont="1" applyFill="1" applyBorder="1" applyAlignment="1">
      <alignment horizontal="left" vertical="center"/>
    </xf>
    <xf numFmtId="14" fontId="23" fillId="2" borderId="24" xfId="0" applyNumberFormat="1" applyFont="1" applyFill="1" applyBorder="1" applyAlignment="1">
      <alignment horizontal="right" vertical="center"/>
    </xf>
    <xf numFmtId="14" fontId="23" fillId="2" borderId="8" xfId="0" applyNumberFormat="1" applyFont="1" applyFill="1" applyBorder="1" applyAlignment="1">
      <alignment horizontal="right" vertical="center"/>
    </xf>
    <xf numFmtId="0" fontId="22" fillId="2" borderId="25" xfId="0" applyFont="1" applyFill="1" applyBorder="1" applyAlignment="1">
      <alignment horizontal="center" vertical="center" wrapText="1"/>
    </xf>
    <xf numFmtId="0" fontId="22" fillId="2" borderId="19" xfId="0" applyFont="1" applyFill="1" applyBorder="1" applyAlignment="1">
      <alignment horizontal="center" vertical="center"/>
    </xf>
    <xf numFmtId="0" fontId="22" fillId="2" borderId="20" xfId="0" applyFont="1" applyFill="1" applyBorder="1" applyAlignment="1">
      <alignment horizontal="center" vertical="center"/>
    </xf>
    <xf numFmtId="0" fontId="12" fillId="3" borderId="9" xfId="0" applyFont="1" applyFill="1" applyBorder="1" applyAlignment="1">
      <alignment horizontal="right"/>
    </xf>
    <xf numFmtId="0" fontId="12" fillId="3" borderId="10" xfId="0" applyFont="1" applyFill="1" applyBorder="1" applyAlignment="1">
      <alignment horizontal="right"/>
    </xf>
    <xf numFmtId="0" fontId="12" fillId="3" borderId="14" xfId="0" applyFont="1" applyFill="1" applyBorder="1" applyAlignment="1">
      <alignment horizontal="right"/>
    </xf>
    <xf numFmtId="0" fontId="12" fillId="3" borderId="15" xfId="0" applyFont="1" applyFill="1" applyBorder="1" applyAlignment="1">
      <alignment horizontal="right"/>
    </xf>
    <xf numFmtId="0" fontId="13" fillId="3" borderId="9" xfId="0" applyFont="1" applyFill="1" applyBorder="1" applyAlignment="1">
      <alignment horizontal="center" vertical="center"/>
    </xf>
    <xf numFmtId="0" fontId="13" fillId="3" borderId="10" xfId="0" applyFont="1" applyFill="1" applyBorder="1" applyAlignment="1">
      <alignment horizontal="center" vertical="center"/>
    </xf>
    <xf numFmtId="0" fontId="13" fillId="3" borderId="11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9" defaultPivotStyle="PivotStyleLight16"/>
  <colors>
    <mruColors>
      <color rgb="FF00990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13</xdr:row>
      <xdr:rowOff>38100</xdr:rowOff>
    </xdr:from>
    <xdr:to>
      <xdr:col>15</xdr:col>
      <xdr:colOff>0</xdr:colOff>
      <xdr:row>13</xdr:row>
      <xdr:rowOff>257175</xdr:rowOff>
    </xdr:to>
    <xdr:sp macro="[0]!Module1.calcStandings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610475" y="3143250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CalcStandings</a:t>
          </a:r>
        </a:p>
      </xdr:txBody>
    </xdr:sp>
    <xdr:clientData/>
  </xdr:twoCellAnchor>
  <xdr:twoCellAnchor>
    <xdr:from>
      <xdr:col>13</xdr:col>
      <xdr:colOff>0</xdr:colOff>
      <xdr:row>15</xdr:row>
      <xdr:rowOff>0</xdr:rowOff>
    </xdr:from>
    <xdr:to>
      <xdr:col>15</xdr:col>
      <xdr:colOff>0</xdr:colOff>
      <xdr:row>16</xdr:row>
      <xdr:rowOff>28575</xdr:rowOff>
    </xdr:to>
    <xdr:sp macro="[0]!SortStandings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610475" y="3609975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SortStandings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C00000"/>
  </sheetPr>
  <dimension ref="A2:P15"/>
  <sheetViews>
    <sheetView tabSelected="1" workbookViewId="0">
      <selection activeCell="S14" sqref="S14"/>
    </sheetView>
  </sheetViews>
  <sheetFormatPr defaultRowHeight="14.4" x14ac:dyDescent="0.3"/>
  <cols>
    <col min="1" max="1" width="0.88671875" customWidth="1"/>
    <col min="2" max="2" width="2" style="1" bestFit="1" customWidth="1"/>
    <col min="3" max="3" width="13.33203125" style="1" customWidth="1"/>
    <col min="4" max="4" width="3" style="1" bestFit="1" customWidth="1"/>
    <col min="5" max="5" width="3" bestFit="1" customWidth="1"/>
    <col min="6" max="6" width="3" customWidth="1"/>
    <col min="7" max="7" width="3.21875" bestFit="1" customWidth="1"/>
    <col min="8" max="8" width="3.5546875" bestFit="1" customWidth="1"/>
    <col min="9" max="10" width="4.6640625" customWidth="1"/>
    <col min="11" max="11" width="0.88671875" customWidth="1"/>
  </cols>
  <sheetData>
    <row r="2" spans="1:16" s="2" customFormat="1" ht="12" customHeight="1" thickBot="1" x14ac:dyDescent="0.35">
      <c r="A2" s="80"/>
      <c r="B2" s="80"/>
      <c r="C2" s="80"/>
      <c r="D2" s="80"/>
      <c r="E2" s="80"/>
      <c r="F2" s="80"/>
      <c r="G2" s="80"/>
      <c r="H2" s="80"/>
      <c r="I2" s="80"/>
      <c r="J2" s="80"/>
      <c r="K2" s="80"/>
    </row>
    <row r="3" spans="1:16" ht="18" x14ac:dyDescent="0.3">
      <c r="A3" s="81"/>
      <c r="B3" s="38"/>
      <c r="C3" s="70" t="s">
        <v>5</v>
      </c>
      <c r="D3" s="71" t="s">
        <v>29</v>
      </c>
      <c r="E3" s="71" t="s">
        <v>27</v>
      </c>
      <c r="F3" s="71" t="s">
        <v>28</v>
      </c>
      <c r="G3" s="71" t="s">
        <v>43</v>
      </c>
      <c r="H3" s="71" t="s">
        <v>44</v>
      </c>
      <c r="I3" s="71" t="s">
        <v>6</v>
      </c>
      <c r="J3" s="72" t="s">
        <v>7</v>
      </c>
      <c r="K3" s="81"/>
      <c r="M3" s="76" t="s">
        <v>13</v>
      </c>
      <c r="N3" s="77"/>
      <c r="O3" s="77"/>
      <c r="P3" s="77"/>
    </row>
    <row r="4" spans="1:16" ht="18" customHeight="1" x14ac:dyDescent="0.3">
      <c r="A4" s="81"/>
      <c r="B4" s="69">
        <v>1</v>
      </c>
      <c r="C4" s="73" t="s">
        <v>40</v>
      </c>
      <c r="D4" s="28">
        <v>12</v>
      </c>
      <c r="E4" s="28">
        <v>10</v>
      </c>
      <c r="F4" s="28">
        <v>2</v>
      </c>
      <c r="G4" s="28">
        <v>0</v>
      </c>
      <c r="H4" s="74">
        <v>20</v>
      </c>
      <c r="I4" s="28">
        <v>76</v>
      </c>
      <c r="J4" s="75">
        <v>19</v>
      </c>
      <c r="K4" s="81"/>
      <c r="M4" s="4">
        <v>1</v>
      </c>
      <c r="N4" t="s">
        <v>14</v>
      </c>
    </row>
    <row r="5" spans="1:16" ht="18" customHeight="1" x14ac:dyDescent="0.3">
      <c r="A5" s="81"/>
      <c r="B5" s="69">
        <v>2</v>
      </c>
      <c r="C5" s="73" t="s">
        <v>3</v>
      </c>
      <c r="D5" s="28">
        <v>12</v>
      </c>
      <c r="E5" s="28">
        <v>7</v>
      </c>
      <c r="F5" s="28">
        <v>4</v>
      </c>
      <c r="G5" s="28">
        <v>1</v>
      </c>
      <c r="H5" s="74">
        <v>15</v>
      </c>
      <c r="I5" s="28">
        <v>38</v>
      </c>
      <c r="J5" s="75">
        <v>44</v>
      </c>
      <c r="K5" s="81"/>
      <c r="M5" s="4">
        <v>2</v>
      </c>
      <c r="N5" t="s">
        <v>15</v>
      </c>
    </row>
    <row r="6" spans="1:16" ht="18" customHeight="1" x14ac:dyDescent="0.3">
      <c r="A6" s="81"/>
      <c r="B6" s="69">
        <v>3</v>
      </c>
      <c r="C6" s="73" t="s">
        <v>25</v>
      </c>
      <c r="D6" s="28">
        <v>10</v>
      </c>
      <c r="E6" s="28">
        <v>7</v>
      </c>
      <c r="F6" s="28">
        <v>3</v>
      </c>
      <c r="G6" s="28">
        <v>0</v>
      </c>
      <c r="H6" s="74">
        <v>14</v>
      </c>
      <c r="I6" s="28">
        <v>62</v>
      </c>
      <c r="J6" s="75">
        <v>34</v>
      </c>
      <c r="K6" s="81"/>
      <c r="M6" s="4">
        <v>3</v>
      </c>
      <c r="N6" t="s">
        <v>16</v>
      </c>
    </row>
    <row r="7" spans="1:16" ht="18" customHeight="1" x14ac:dyDescent="0.3">
      <c r="A7" s="81"/>
      <c r="B7" s="69">
        <v>4</v>
      </c>
      <c r="C7" s="73" t="s">
        <v>46</v>
      </c>
      <c r="D7" s="28">
        <v>12</v>
      </c>
      <c r="E7" s="28">
        <v>6</v>
      </c>
      <c r="F7" s="28">
        <v>6</v>
      </c>
      <c r="G7" s="28">
        <v>0</v>
      </c>
      <c r="H7" s="74">
        <v>12</v>
      </c>
      <c r="I7" s="28">
        <v>38</v>
      </c>
      <c r="J7" s="75">
        <v>61</v>
      </c>
      <c r="K7" s="81"/>
      <c r="M7" s="4">
        <v>4</v>
      </c>
      <c r="N7" t="s">
        <v>18</v>
      </c>
    </row>
    <row r="8" spans="1:16" ht="18" customHeight="1" x14ac:dyDescent="0.3">
      <c r="A8" s="81"/>
      <c r="B8" s="69">
        <v>5</v>
      </c>
      <c r="C8" s="73" t="s">
        <v>4</v>
      </c>
      <c r="D8" s="28">
        <v>12</v>
      </c>
      <c r="E8" s="28">
        <v>4</v>
      </c>
      <c r="F8" s="28">
        <v>8</v>
      </c>
      <c r="G8" s="28">
        <v>0</v>
      </c>
      <c r="H8" s="74">
        <v>8</v>
      </c>
      <c r="I8" s="28">
        <v>32</v>
      </c>
      <c r="J8" s="75">
        <v>70</v>
      </c>
      <c r="K8" s="81"/>
      <c r="M8" s="4">
        <v>5</v>
      </c>
      <c r="N8" t="s">
        <v>20</v>
      </c>
    </row>
    <row r="9" spans="1:16" ht="18" customHeight="1" x14ac:dyDescent="0.3">
      <c r="A9" s="81"/>
      <c r="B9" s="69">
        <v>6</v>
      </c>
      <c r="C9" s="73" t="s">
        <v>2</v>
      </c>
      <c r="D9" s="28">
        <v>6</v>
      </c>
      <c r="E9" s="28">
        <v>3</v>
      </c>
      <c r="F9" s="28">
        <v>3</v>
      </c>
      <c r="G9" s="28">
        <v>0</v>
      </c>
      <c r="H9" s="74">
        <v>6</v>
      </c>
      <c r="I9" s="28">
        <v>22</v>
      </c>
      <c r="J9" s="75">
        <v>17</v>
      </c>
      <c r="K9" s="81"/>
    </row>
    <row r="10" spans="1:16" ht="18" customHeight="1" x14ac:dyDescent="0.3">
      <c r="A10" s="81"/>
      <c r="B10" s="69">
        <v>7</v>
      </c>
      <c r="C10" s="73" t="s">
        <v>48</v>
      </c>
      <c r="D10" s="28">
        <v>10</v>
      </c>
      <c r="E10" s="28">
        <v>0</v>
      </c>
      <c r="F10" s="28">
        <v>10</v>
      </c>
      <c r="G10" s="28">
        <v>0</v>
      </c>
      <c r="H10" s="74">
        <v>0</v>
      </c>
      <c r="I10" s="28">
        <v>10</v>
      </c>
      <c r="J10" s="75">
        <v>33</v>
      </c>
      <c r="K10" s="81"/>
      <c r="M10" t="s">
        <v>17</v>
      </c>
    </row>
    <row r="11" spans="1:16" ht="18" customHeight="1" thickBot="1" x14ac:dyDescent="0.35">
      <c r="A11" s="81"/>
      <c r="B11" s="69"/>
      <c r="C11" s="73"/>
      <c r="D11" s="28"/>
      <c r="E11" s="28"/>
      <c r="F11" s="28"/>
      <c r="G11" s="28"/>
      <c r="H11" s="74"/>
      <c r="I11" s="28"/>
      <c r="J11" s="75"/>
      <c r="K11" s="81"/>
    </row>
    <row r="12" spans="1:16" ht="16.8" thickTop="1" thickBot="1" x14ac:dyDescent="0.35">
      <c r="A12" s="81"/>
      <c r="B12" s="69"/>
      <c r="C12" s="73"/>
      <c r="D12" s="28"/>
      <c r="E12" s="28"/>
      <c r="F12" s="28"/>
      <c r="G12" s="28"/>
      <c r="H12" s="74"/>
      <c r="I12" s="28"/>
      <c r="J12" s="75"/>
      <c r="K12" s="81"/>
      <c r="M12" s="78" t="s">
        <v>19</v>
      </c>
      <c r="N12" s="78"/>
      <c r="O12" s="78"/>
      <c r="P12" s="5">
        <v>38</v>
      </c>
    </row>
    <row r="13" spans="1:16" ht="16.2" thickTop="1" x14ac:dyDescent="0.3">
      <c r="A13" s="1"/>
      <c r="B13" s="68"/>
      <c r="C13" s="84" t="s">
        <v>42</v>
      </c>
      <c r="D13" s="85"/>
      <c r="E13" s="85"/>
      <c r="F13" s="85"/>
      <c r="G13" s="82" cm="1">
        <f t="array" aca="1" ref="G13" ca="1">LastModified()</f>
        <v>44905.692604166667</v>
      </c>
      <c r="H13" s="82"/>
      <c r="I13" s="82"/>
      <c r="J13" s="83"/>
      <c r="K13" s="1"/>
      <c r="M13" s="42"/>
      <c r="N13" s="42"/>
      <c r="O13" s="42"/>
    </row>
    <row r="14" spans="1:16" ht="52.8" customHeight="1" thickBot="1" x14ac:dyDescent="0.35">
      <c r="B14" s="43"/>
      <c r="C14" s="86" t="s">
        <v>65</v>
      </c>
      <c r="D14" s="87"/>
      <c r="E14" s="87"/>
      <c r="F14" s="87"/>
      <c r="G14" s="87"/>
      <c r="H14" s="87"/>
      <c r="I14" s="87"/>
      <c r="J14" s="88"/>
    </row>
    <row r="15" spans="1:16" x14ac:dyDescent="0.3">
      <c r="G15" s="79" t="s">
        <v>21</v>
      </c>
      <c r="H15" s="79"/>
      <c r="I15" s="7">
        <f>SUM(I4:I12)</f>
        <v>278</v>
      </c>
      <c r="J15" s="7">
        <f>SUM(J4:J12)</f>
        <v>278</v>
      </c>
    </row>
  </sheetData>
  <sortState xmlns:xlrd2="http://schemas.microsoft.com/office/spreadsheetml/2017/richdata2" ref="C4:J10">
    <sortCondition descending="1" ref="H4:H10"/>
    <sortCondition descending="1" ref="E4:E10"/>
    <sortCondition ref="D4:D10"/>
    <sortCondition descending="1" ref="I4:I10"/>
    <sortCondition ref="J4:J10"/>
  </sortState>
  <mergeCells count="9">
    <mergeCell ref="M3:P3"/>
    <mergeCell ref="M12:O12"/>
    <mergeCell ref="G15:H15"/>
    <mergeCell ref="A2:K2"/>
    <mergeCell ref="A3:A12"/>
    <mergeCell ref="K3:K12"/>
    <mergeCell ref="G13:J13"/>
    <mergeCell ref="C13:F13"/>
    <mergeCell ref="C14:J14"/>
  </mergeCells>
  <pageMargins left="0.7" right="0.7" top="0.75" bottom="0.75" header="0.3" footer="0.3"/>
  <pageSetup orientation="portrait" r:id="rId1"/>
  <drawing r:id="rId2"/>
  <webPublishItems count="1">
    <webPublishItem id="15919" divId="MCHC 2021-22 Standings Worksheet_15919" sourceType="range" sourceRef="C3:J14" destinationFile="C:\Users\casse\OneDrive\Webmaster\methockey\standings\standings-include.html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FF00"/>
  </sheetPr>
  <dimension ref="A1:U104"/>
  <sheetViews>
    <sheetView topLeftCell="A26" zoomScaleNormal="100" workbookViewId="0">
      <selection activeCell="A39" sqref="A39"/>
    </sheetView>
  </sheetViews>
  <sheetFormatPr defaultRowHeight="14.4" x14ac:dyDescent="0.3"/>
  <cols>
    <col min="1" max="1" width="3.44140625" style="1" bestFit="1" customWidth="1"/>
    <col min="2" max="2" width="11.33203125" style="17" customWidth="1"/>
    <col min="3" max="3" width="10.5546875" style="24" bestFit="1" customWidth="1"/>
    <col min="4" max="4" width="4" style="1" bestFit="1" customWidth="1"/>
    <col min="5" max="5" width="10.5546875" style="24" bestFit="1" customWidth="1"/>
    <col min="6" max="6" width="4" style="1" bestFit="1" customWidth="1"/>
    <col min="7" max="7" width="3" bestFit="1" customWidth="1"/>
    <col min="8" max="8" width="32.6640625" customWidth="1"/>
    <col min="9" max="10" width="4.6640625" style="1" customWidth="1"/>
    <col min="11" max="12" width="1.6640625" customWidth="1"/>
    <col min="13" max="13" width="14.109375" customWidth="1"/>
    <col min="17" max="17" width="4.109375" bestFit="1" customWidth="1"/>
    <col min="18" max="18" width="3" bestFit="1" customWidth="1"/>
    <col min="19" max="19" width="19.109375" customWidth="1"/>
    <col min="20" max="20" width="3" bestFit="1" customWidth="1"/>
  </cols>
  <sheetData>
    <row r="1" spans="1:21" ht="15.6" thickTop="1" thickBot="1" x14ac:dyDescent="0.35">
      <c r="H1" s="3" t="s">
        <v>12</v>
      </c>
      <c r="I1" s="1" t="s">
        <v>10</v>
      </c>
      <c r="J1" s="1" t="s">
        <v>11</v>
      </c>
      <c r="M1" s="6" t="s">
        <v>23</v>
      </c>
      <c r="N1" s="6">
        <v>1</v>
      </c>
      <c r="O1" s="27" t="s">
        <v>41</v>
      </c>
      <c r="R1" s="89" t="s">
        <v>37</v>
      </c>
      <c r="S1" s="90"/>
      <c r="T1" s="20">
        <f>MAX(A:A)</f>
        <v>63</v>
      </c>
      <c r="U1" s="21"/>
    </row>
    <row r="2" spans="1:21" ht="15.6" thickTop="1" thickBot="1" x14ac:dyDescent="0.35">
      <c r="A2" s="39" t="s">
        <v>9</v>
      </c>
      <c r="B2" s="40" t="s">
        <v>8</v>
      </c>
      <c r="C2" s="41" t="s">
        <v>1</v>
      </c>
      <c r="D2" s="41"/>
      <c r="E2" s="41" t="s">
        <v>0</v>
      </c>
      <c r="F2" s="41"/>
      <c r="G2" s="21"/>
      <c r="H2" s="3"/>
      <c r="M2" s="6" t="s">
        <v>24</v>
      </c>
      <c r="N2" s="6">
        <v>2</v>
      </c>
      <c r="P2" s="18" t="s">
        <v>30</v>
      </c>
      <c r="Q2" s="19" t="s">
        <v>31</v>
      </c>
      <c r="R2" s="91" t="s">
        <v>38</v>
      </c>
      <c r="S2" s="92"/>
      <c r="T2" s="22">
        <f>SUM(T3:T7)</f>
        <v>37</v>
      </c>
      <c r="U2" s="23"/>
    </row>
    <row r="3" spans="1:21" s="51" customFormat="1" ht="15.6" thickTop="1" thickBot="1" x14ac:dyDescent="0.35">
      <c r="A3" s="44">
        <v>1</v>
      </c>
      <c r="B3" s="45">
        <v>44834</v>
      </c>
      <c r="C3" s="46" t="s">
        <v>3</v>
      </c>
      <c r="D3" s="47">
        <v>0</v>
      </c>
      <c r="E3" s="46" t="s">
        <v>40</v>
      </c>
      <c r="F3" s="47">
        <v>7</v>
      </c>
      <c r="G3" s="48"/>
      <c r="H3" s="49" t="s">
        <v>49</v>
      </c>
      <c r="I3" s="50">
        <v>6</v>
      </c>
      <c r="J3" s="50">
        <v>4</v>
      </c>
      <c r="M3" s="52" t="s">
        <v>26</v>
      </c>
      <c r="N3" s="53">
        <v>3</v>
      </c>
      <c r="P3" s="54">
        <f>D3-F3</f>
        <v>-7</v>
      </c>
      <c r="Q3" s="51">
        <f>ABS(P3)</f>
        <v>7</v>
      </c>
      <c r="R3" s="55">
        <v>1</v>
      </c>
      <c r="S3" s="51" t="s">
        <v>33</v>
      </c>
      <c r="T3" s="51">
        <f>COUNTIF($Q$3:$Q$65,R3)</f>
        <v>13</v>
      </c>
      <c r="U3" s="56">
        <f>IF($T$2&gt;0, T3/$T$2, 0)</f>
        <v>0.35135135135135137</v>
      </c>
    </row>
    <row r="4" spans="1:21" s="51" customFormat="1" ht="15.6" thickTop="1" thickBot="1" x14ac:dyDescent="0.35">
      <c r="A4" s="44">
        <v>3</v>
      </c>
      <c r="B4" s="45">
        <v>44835</v>
      </c>
      <c r="C4" s="46" t="s">
        <v>40</v>
      </c>
      <c r="D4" s="47">
        <v>1</v>
      </c>
      <c r="E4" s="46" t="s">
        <v>48</v>
      </c>
      <c r="F4" s="47">
        <v>0</v>
      </c>
      <c r="G4" s="48" t="s">
        <v>61</v>
      </c>
      <c r="H4" s="49" t="s">
        <v>62</v>
      </c>
      <c r="I4" s="50">
        <v>4</v>
      </c>
      <c r="J4" s="50">
        <v>7</v>
      </c>
      <c r="M4" s="53" t="s">
        <v>39</v>
      </c>
      <c r="N4" s="53">
        <v>4</v>
      </c>
      <c r="P4" s="54">
        <f t="shared" ref="P4:P11" si="0">D4-F4</f>
        <v>1</v>
      </c>
      <c r="Q4" s="51">
        <f t="shared" ref="Q4:Q11" si="1">ABS(P4)</f>
        <v>1</v>
      </c>
      <c r="R4" s="55">
        <v>2</v>
      </c>
      <c r="S4" s="51" t="s">
        <v>33</v>
      </c>
      <c r="T4" s="51">
        <f>COUNTIF($Q$3:$Q$65,R4)</f>
        <v>5</v>
      </c>
      <c r="U4" s="56">
        <f>IF($T$2&gt;0, T4/$T$2, 0)</f>
        <v>0.13513513513513514</v>
      </c>
    </row>
    <row r="5" spans="1:21" s="51" customFormat="1" ht="15.6" thickTop="1" thickBot="1" x14ac:dyDescent="0.35">
      <c r="A5" s="44">
        <v>4</v>
      </c>
      <c r="B5" s="45">
        <v>44841</v>
      </c>
      <c r="C5" s="46" t="s">
        <v>40</v>
      </c>
      <c r="D5" s="47">
        <v>10</v>
      </c>
      <c r="E5" s="46" t="s">
        <v>46</v>
      </c>
      <c r="F5" s="47">
        <v>2</v>
      </c>
      <c r="G5" s="48"/>
      <c r="H5" s="49" t="s">
        <v>50</v>
      </c>
      <c r="I5" s="50">
        <v>4</v>
      </c>
      <c r="J5" s="50">
        <v>5</v>
      </c>
      <c r="M5" s="53" t="s">
        <v>46</v>
      </c>
      <c r="N5" s="53">
        <v>5</v>
      </c>
      <c r="P5" s="54">
        <f t="shared" si="0"/>
        <v>8</v>
      </c>
      <c r="Q5" s="51">
        <f t="shared" si="1"/>
        <v>8</v>
      </c>
      <c r="R5" s="55">
        <v>3</v>
      </c>
      <c r="S5" s="51" t="s">
        <v>33</v>
      </c>
      <c r="T5" s="51">
        <f>COUNTIF($Q$3:$Q$65,R5)</f>
        <v>6</v>
      </c>
      <c r="U5" s="56">
        <f>IF($T$2&gt;0, T5/$T$2, 0)</f>
        <v>0.16216216216216217</v>
      </c>
    </row>
    <row r="6" spans="1:21" s="51" customFormat="1" ht="15.6" thickTop="1" thickBot="1" x14ac:dyDescent="0.35">
      <c r="A6" s="44">
        <v>5</v>
      </c>
      <c r="B6" s="45">
        <v>44841</v>
      </c>
      <c r="C6" s="46" t="s">
        <v>3</v>
      </c>
      <c r="D6" s="47">
        <v>2</v>
      </c>
      <c r="E6" s="46" t="s">
        <v>48</v>
      </c>
      <c r="F6" s="47">
        <v>1</v>
      </c>
      <c r="G6" s="48"/>
      <c r="H6" s="49" t="s">
        <v>51</v>
      </c>
      <c r="I6" s="50">
        <v>6</v>
      </c>
      <c r="J6" s="50">
        <v>7</v>
      </c>
      <c r="M6" s="53" t="s">
        <v>22</v>
      </c>
      <c r="N6" s="53">
        <v>6</v>
      </c>
      <c r="P6" s="54">
        <f t="shared" si="0"/>
        <v>1</v>
      </c>
      <c r="Q6" s="51">
        <f t="shared" si="1"/>
        <v>1</v>
      </c>
      <c r="R6" s="55">
        <v>4</v>
      </c>
      <c r="S6" s="51" t="s">
        <v>33</v>
      </c>
      <c r="T6" s="51">
        <f>COUNTIF($Q$3:$Q$65,R6)</f>
        <v>2</v>
      </c>
      <c r="U6" s="56">
        <f>IF($T$2&gt;0, T6/$T$2, 0)</f>
        <v>5.4054054054054057E-2</v>
      </c>
    </row>
    <row r="7" spans="1:21" s="51" customFormat="1" ht="15.6" thickTop="1" thickBot="1" x14ac:dyDescent="0.35">
      <c r="A7" s="44">
        <v>6</v>
      </c>
      <c r="B7" s="45">
        <v>44842</v>
      </c>
      <c r="C7" s="46" t="s">
        <v>46</v>
      </c>
      <c r="D7" s="47">
        <v>2</v>
      </c>
      <c r="E7" s="46" t="s">
        <v>25</v>
      </c>
      <c r="F7" s="47">
        <v>9</v>
      </c>
      <c r="G7" s="48"/>
      <c r="H7" s="49" t="s">
        <v>52</v>
      </c>
      <c r="I7" s="50">
        <v>5</v>
      </c>
      <c r="J7" s="50">
        <v>3</v>
      </c>
      <c r="M7" s="53" t="s">
        <v>47</v>
      </c>
      <c r="N7" s="53">
        <v>7</v>
      </c>
      <c r="P7" s="54">
        <f t="shared" si="0"/>
        <v>-7</v>
      </c>
      <c r="Q7" s="51">
        <f t="shared" si="1"/>
        <v>7</v>
      </c>
      <c r="R7" s="57" t="s">
        <v>32</v>
      </c>
      <c r="S7" s="58" t="s">
        <v>33</v>
      </c>
      <c r="T7" s="58">
        <f>COUNTIF($Q$3:$Q$65,"&gt;=5")</f>
        <v>11</v>
      </c>
      <c r="U7" s="59">
        <f>IF($T$2&gt;0, T7/$T$2, 0)</f>
        <v>0.29729729729729731</v>
      </c>
    </row>
    <row r="8" spans="1:21" s="51" customFormat="1" ht="15.6" thickTop="1" thickBot="1" x14ac:dyDescent="0.35">
      <c r="A8" s="44">
        <v>7</v>
      </c>
      <c r="B8" s="45">
        <v>44843</v>
      </c>
      <c r="C8" s="46" t="s">
        <v>25</v>
      </c>
      <c r="D8" s="47">
        <v>3</v>
      </c>
      <c r="E8" s="46" t="s">
        <v>3</v>
      </c>
      <c r="F8" s="47">
        <v>5</v>
      </c>
      <c r="G8" s="48"/>
      <c r="H8" s="49" t="s">
        <v>53</v>
      </c>
      <c r="I8" s="50">
        <v>3</v>
      </c>
      <c r="J8" s="50">
        <v>6</v>
      </c>
      <c r="M8" s="53"/>
      <c r="N8" s="53"/>
      <c r="P8" s="54">
        <f t="shared" si="0"/>
        <v>-2</v>
      </c>
      <c r="Q8" s="60">
        <f t="shared" si="1"/>
        <v>2</v>
      </c>
      <c r="U8" s="61">
        <f>SUM(U3:U7)</f>
        <v>1</v>
      </c>
    </row>
    <row r="9" spans="1:21" s="51" customFormat="1" ht="15.6" thickTop="1" thickBot="1" x14ac:dyDescent="0.35">
      <c r="A9" s="44">
        <v>8</v>
      </c>
      <c r="B9" s="45">
        <v>44848</v>
      </c>
      <c r="C9" s="46" t="s">
        <v>48</v>
      </c>
      <c r="D9" s="47">
        <v>1</v>
      </c>
      <c r="E9" s="46" t="s">
        <v>46</v>
      </c>
      <c r="F9" s="47">
        <v>4</v>
      </c>
      <c r="G9" s="48"/>
      <c r="H9" s="49" t="s">
        <v>54</v>
      </c>
      <c r="I9" s="50">
        <v>7</v>
      </c>
      <c r="J9" s="50">
        <v>5</v>
      </c>
      <c r="M9" s="53"/>
      <c r="N9" s="53"/>
      <c r="P9" s="54">
        <f t="shared" si="0"/>
        <v>-3</v>
      </c>
      <c r="Q9" s="60">
        <f t="shared" si="1"/>
        <v>3</v>
      </c>
      <c r="U9" s="61"/>
    </row>
    <row r="10" spans="1:21" s="51" customFormat="1" ht="15.6" thickTop="1" thickBot="1" x14ac:dyDescent="0.35">
      <c r="A10" s="44">
        <v>9</v>
      </c>
      <c r="B10" s="45">
        <v>44848</v>
      </c>
      <c r="C10" s="46" t="s">
        <v>4</v>
      </c>
      <c r="D10" s="47">
        <v>2</v>
      </c>
      <c r="E10" s="46" t="s">
        <v>25</v>
      </c>
      <c r="F10" s="47">
        <v>11</v>
      </c>
      <c r="G10" s="48"/>
      <c r="H10" s="49" t="s">
        <v>52</v>
      </c>
      <c r="I10" s="50">
        <v>1</v>
      </c>
      <c r="J10" s="50">
        <v>3</v>
      </c>
      <c r="M10" s="53"/>
      <c r="N10" s="53"/>
      <c r="P10" s="54">
        <f t="shared" si="0"/>
        <v>-9</v>
      </c>
      <c r="Q10" s="60">
        <f t="shared" si="1"/>
        <v>9</v>
      </c>
      <c r="U10" s="61"/>
    </row>
    <row r="11" spans="1:21" s="51" customFormat="1" ht="15.6" thickTop="1" thickBot="1" x14ac:dyDescent="0.35">
      <c r="A11" s="44">
        <v>10</v>
      </c>
      <c r="B11" s="45">
        <v>44849</v>
      </c>
      <c r="C11" s="46" t="s">
        <v>25</v>
      </c>
      <c r="D11" s="47">
        <v>5</v>
      </c>
      <c r="E11" s="46" t="s">
        <v>40</v>
      </c>
      <c r="F11" s="47">
        <v>3</v>
      </c>
      <c r="G11" s="48"/>
      <c r="H11" s="49" t="s">
        <v>55</v>
      </c>
      <c r="I11" s="50">
        <v>3</v>
      </c>
      <c r="J11" s="50">
        <v>4</v>
      </c>
      <c r="N11" s="53">
        <v>7</v>
      </c>
      <c r="P11" s="54">
        <f t="shared" si="0"/>
        <v>2</v>
      </c>
      <c r="Q11" s="60">
        <f t="shared" si="1"/>
        <v>2</v>
      </c>
      <c r="U11" s="62"/>
    </row>
    <row r="12" spans="1:21" s="51" customFormat="1" ht="15" thickTop="1" x14ac:dyDescent="0.3">
      <c r="A12" s="44">
        <v>12</v>
      </c>
      <c r="B12" s="45">
        <v>44855</v>
      </c>
      <c r="C12" s="46" t="s">
        <v>4</v>
      </c>
      <c r="D12" s="47">
        <v>2</v>
      </c>
      <c r="E12" s="46" t="s">
        <v>40</v>
      </c>
      <c r="F12" s="47">
        <v>1</v>
      </c>
      <c r="G12" s="48"/>
      <c r="H12" s="49" t="s">
        <v>57</v>
      </c>
      <c r="I12" s="50">
        <v>1</v>
      </c>
      <c r="J12" s="50">
        <v>4</v>
      </c>
      <c r="P12" s="54">
        <f t="shared" ref="P12:P18" si="2">D12-F12</f>
        <v>1</v>
      </c>
      <c r="Q12" s="60">
        <f t="shared" ref="Q12:Q18" si="3">ABS(P12)</f>
        <v>1</v>
      </c>
    </row>
    <row r="13" spans="1:21" s="51" customFormat="1" x14ac:dyDescent="0.3">
      <c r="A13" s="44">
        <v>13</v>
      </c>
      <c r="B13" s="45">
        <v>44855</v>
      </c>
      <c r="C13" s="46" t="s">
        <v>3</v>
      </c>
      <c r="D13" s="47">
        <v>3</v>
      </c>
      <c r="E13" s="46" t="s">
        <v>46</v>
      </c>
      <c r="F13" s="47">
        <v>4</v>
      </c>
      <c r="G13" s="48" t="s">
        <v>56</v>
      </c>
      <c r="H13" s="49" t="s">
        <v>58</v>
      </c>
      <c r="I13" s="50">
        <v>6</v>
      </c>
      <c r="J13" s="50">
        <v>5</v>
      </c>
      <c r="P13" s="54">
        <f t="shared" si="2"/>
        <v>-1</v>
      </c>
      <c r="Q13" s="60">
        <f t="shared" si="3"/>
        <v>1</v>
      </c>
    </row>
    <row r="14" spans="1:21" s="51" customFormat="1" x14ac:dyDescent="0.3">
      <c r="A14" s="44">
        <v>14</v>
      </c>
      <c r="B14" s="45">
        <v>44856</v>
      </c>
      <c r="C14" s="46" t="s">
        <v>48</v>
      </c>
      <c r="D14" s="47">
        <v>1</v>
      </c>
      <c r="E14" s="46" t="s">
        <v>25</v>
      </c>
      <c r="F14" s="47">
        <v>4</v>
      </c>
      <c r="G14" s="48"/>
      <c r="H14" s="49" t="s">
        <v>52</v>
      </c>
      <c r="I14" s="50">
        <v>7</v>
      </c>
      <c r="J14" s="50">
        <v>3</v>
      </c>
      <c r="P14" s="54">
        <f t="shared" si="2"/>
        <v>-3</v>
      </c>
      <c r="Q14" s="60">
        <f t="shared" si="3"/>
        <v>3</v>
      </c>
    </row>
    <row r="15" spans="1:21" s="51" customFormat="1" x14ac:dyDescent="0.3">
      <c r="A15" s="44">
        <v>15</v>
      </c>
      <c r="B15" s="45">
        <v>44856</v>
      </c>
      <c r="C15" s="46" t="s">
        <v>46</v>
      </c>
      <c r="D15" s="47">
        <v>7</v>
      </c>
      <c r="E15" s="46" t="s">
        <v>4</v>
      </c>
      <c r="F15" s="47">
        <v>6</v>
      </c>
      <c r="G15" s="48"/>
      <c r="H15" s="49" t="s">
        <v>59</v>
      </c>
      <c r="I15" s="50">
        <v>5</v>
      </c>
      <c r="J15" s="50">
        <v>1</v>
      </c>
      <c r="P15" s="54">
        <f t="shared" si="2"/>
        <v>1</v>
      </c>
      <c r="Q15" s="60">
        <f t="shared" si="3"/>
        <v>1</v>
      </c>
    </row>
    <row r="16" spans="1:21" s="51" customFormat="1" x14ac:dyDescent="0.3">
      <c r="A16" s="44">
        <v>16</v>
      </c>
      <c r="B16" s="45">
        <v>44862</v>
      </c>
      <c r="C16" s="46" t="s">
        <v>4</v>
      </c>
      <c r="D16" s="47">
        <v>2</v>
      </c>
      <c r="E16" s="46" t="s">
        <v>46</v>
      </c>
      <c r="F16" s="47">
        <v>5</v>
      </c>
      <c r="G16" s="48"/>
      <c r="H16" s="49" t="s">
        <v>54</v>
      </c>
      <c r="I16" s="50">
        <v>1</v>
      </c>
      <c r="J16" s="50">
        <v>5</v>
      </c>
      <c r="P16" s="54">
        <f t="shared" si="2"/>
        <v>-3</v>
      </c>
      <c r="Q16" s="60">
        <f t="shared" si="3"/>
        <v>3</v>
      </c>
    </row>
    <row r="17" spans="1:17" s="51" customFormat="1" x14ac:dyDescent="0.3">
      <c r="A17" s="44">
        <v>17</v>
      </c>
      <c r="B17" s="45">
        <v>44862</v>
      </c>
      <c r="C17" s="46" t="s">
        <v>40</v>
      </c>
      <c r="D17" s="47">
        <v>4</v>
      </c>
      <c r="E17" s="46" t="s">
        <v>3</v>
      </c>
      <c r="F17" s="47">
        <v>1</v>
      </c>
      <c r="G17" s="48"/>
      <c r="H17" s="49" t="s">
        <v>50</v>
      </c>
      <c r="I17" s="50">
        <v>4</v>
      </c>
      <c r="J17" s="50">
        <v>6</v>
      </c>
      <c r="P17" s="54">
        <f t="shared" si="2"/>
        <v>3</v>
      </c>
      <c r="Q17" s="60">
        <f t="shared" si="3"/>
        <v>3</v>
      </c>
    </row>
    <row r="18" spans="1:17" s="51" customFormat="1" x14ac:dyDescent="0.3">
      <c r="A18" s="44">
        <v>18</v>
      </c>
      <c r="B18" s="45">
        <v>44863</v>
      </c>
      <c r="C18" s="46" t="s">
        <v>48</v>
      </c>
      <c r="D18" s="47">
        <v>1</v>
      </c>
      <c r="E18" s="46" t="s">
        <v>3</v>
      </c>
      <c r="F18" s="47">
        <v>2</v>
      </c>
      <c r="G18" s="48"/>
      <c r="H18" s="49" t="s">
        <v>53</v>
      </c>
      <c r="I18" s="50">
        <v>7</v>
      </c>
      <c r="J18" s="50">
        <v>6</v>
      </c>
      <c r="P18" s="54">
        <f t="shared" si="2"/>
        <v>-1</v>
      </c>
      <c r="Q18" s="60">
        <f t="shared" si="3"/>
        <v>1</v>
      </c>
    </row>
    <row r="19" spans="1:17" s="51" customFormat="1" x14ac:dyDescent="0.3">
      <c r="A19" s="44">
        <v>20</v>
      </c>
      <c r="B19" s="45">
        <v>44869</v>
      </c>
      <c r="C19" s="46" t="s">
        <v>4</v>
      </c>
      <c r="D19" s="47">
        <v>1</v>
      </c>
      <c r="E19" s="46" t="s">
        <v>48</v>
      </c>
      <c r="F19" s="47">
        <v>0</v>
      </c>
      <c r="G19" s="48" t="s">
        <v>61</v>
      </c>
      <c r="H19" s="49" t="s">
        <v>63</v>
      </c>
      <c r="I19" s="50">
        <v>1</v>
      </c>
      <c r="J19" s="50">
        <v>7</v>
      </c>
      <c r="P19" s="54">
        <f t="shared" ref="P19:P47" si="4">D19-F19</f>
        <v>1</v>
      </c>
      <c r="Q19" s="60">
        <f t="shared" ref="Q19:Q47" si="5">ABS(P19)</f>
        <v>1</v>
      </c>
    </row>
    <row r="20" spans="1:17" s="51" customFormat="1" x14ac:dyDescent="0.3">
      <c r="A20" s="44">
        <v>21</v>
      </c>
      <c r="B20" s="45">
        <v>44869</v>
      </c>
      <c r="C20" s="46" t="s">
        <v>25</v>
      </c>
      <c r="D20" s="47">
        <v>5</v>
      </c>
      <c r="E20" s="46" t="s">
        <v>46</v>
      </c>
      <c r="F20" s="47">
        <v>4</v>
      </c>
      <c r="G20" s="48"/>
      <c r="H20" s="49" t="s">
        <v>55</v>
      </c>
      <c r="I20" s="50">
        <v>3</v>
      </c>
      <c r="J20" s="50">
        <v>5</v>
      </c>
      <c r="P20" s="54">
        <f t="shared" si="4"/>
        <v>1</v>
      </c>
      <c r="Q20" s="60">
        <f t="shared" si="5"/>
        <v>1</v>
      </c>
    </row>
    <row r="21" spans="1:17" s="51" customFormat="1" x14ac:dyDescent="0.3">
      <c r="A21" s="44">
        <v>22</v>
      </c>
      <c r="B21" s="45">
        <v>44870</v>
      </c>
      <c r="C21" s="46" t="s">
        <v>4</v>
      </c>
      <c r="D21" s="47">
        <v>1</v>
      </c>
      <c r="E21" s="46" t="s">
        <v>3</v>
      </c>
      <c r="F21" s="47">
        <v>4</v>
      </c>
      <c r="G21" s="48"/>
      <c r="H21" s="49" t="s">
        <v>53</v>
      </c>
      <c r="I21" s="50">
        <v>1</v>
      </c>
      <c r="J21" s="50">
        <v>6</v>
      </c>
      <c r="P21" s="54">
        <f t="shared" si="4"/>
        <v>-3</v>
      </c>
      <c r="Q21" s="60">
        <f t="shared" si="5"/>
        <v>3</v>
      </c>
    </row>
    <row r="22" spans="1:17" s="51" customFormat="1" x14ac:dyDescent="0.3">
      <c r="A22" s="44">
        <v>23</v>
      </c>
      <c r="B22" s="45">
        <v>44876</v>
      </c>
      <c r="C22" s="46" t="s">
        <v>40</v>
      </c>
      <c r="D22" s="47">
        <v>8</v>
      </c>
      <c r="E22" s="46" t="s">
        <v>46</v>
      </c>
      <c r="F22" s="47">
        <v>1</v>
      </c>
      <c r="G22" s="48"/>
      <c r="H22" s="49" t="s">
        <v>50</v>
      </c>
      <c r="I22" s="50">
        <v>4</v>
      </c>
      <c r="J22" s="50">
        <v>5</v>
      </c>
      <c r="P22" s="54">
        <f t="shared" si="4"/>
        <v>7</v>
      </c>
      <c r="Q22" s="60">
        <f t="shared" si="5"/>
        <v>7</v>
      </c>
    </row>
    <row r="23" spans="1:17" s="51" customFormat="1" x14ac:dyDescent="0.3">
      <c r="A23" s="44">
        <v>24</v>
      </c>
      <c r="B23" s="45">
        <v>44876</v>
      </c>
      <c r="C23" s="46" t="s">
        <v>3</v>
      </c>
      <c r="D23" s="47">
        <v>4</v>
      </c>
      <c r="E23" s="46" t="s">
        <v>25</v>
      </c>
      <c r="F23" s="47">
        <v>10</v>
      </c>
      <c r="G23" s="48"/>
      <c r="H23" s="49" t="s">
        <v>52</v>
      </c>
      <c r="I23" s="50">
        <v>6</v>
      </c>
      <c r="J23" s="50">
        <v>3</v>
      </c>
      <c r="N23" s="51">
        <f>LOOKUP(C24,M1:M5,N1:N5)</f>
        <v>5</v>
      </c>
      <c r="P23" s="54">
        <f t="shared" si="4"/>
        <v>-6</v>
      </c>
      <c r="Q23" s="60">
        <f t="shared" si="5"/>
        <v>6</v>
      </c>
    </row>
    <row r="24" spans="1:17" s="51" customFormat="1" x14ac:dyDescent="0.3">
      <c r="A24" s="44">
        <v>25</v>
      </c>
      <c r="B24" s="45">
        <v>44877</v>
      </c>
      <c r="C24" s="46" t="s">
        <v>46</v>
      </c>
      <c r="D24" s="47">
        <v>1</v>
      </c>
      <c r="E24" s="46" t="s">
        <v>48</v>
      </c>
      <c r="F24" s="47">
        <v>0</v>
      </c>
      <c r="G24" s="48" t="s">
        <v>61</v>
      </c>
      <c r="H24" s="49" t="s">
        <v>64</v>
      </c>
      <c r="I24" s="50">
        <v>5</v>
      </c>
      <c r="J24" s="50">
        <v>7</v>
      </c>
      <c r="O24" s="51">
        <f>LOOKUP(E24,M1:M5,N1:N5)</f>
        <v>5</v>
      </c>
      <c r="P24" s="54">
        <f t="shared" si="4"/>
        <v>1</v>
      </c>
      <c r="Q24" s="60">
        <f t="shared" si="5"/>
        <v>1</v>
      </c>
    </row>
    <row r="25" spans="1:17" s="51" customFormat="1" x14ac:dyDescent="0.3">
      <c r="A25" s="44">
        <v>2</v>
      </c>
      <c r="B25" s="45">
        <v>44878</v>
      </c>
      <c r="C25" s="46" t="s">
        <v>4</v>
      </c>
      <c r="D25" s="47">
        <v>3</v>
      </c>
      <c r="E25" s="46" t="s">
        <v>3</v>
      </c>
      <c r="F25" s="47">
        <v>6</v>
      </c>
      <c r="G25" s="48"/>
      <c r="H25" s="49" t="s">
        <v>53</v>
      </c>
      <c r="I25" s="50">
        <v>1</v>
      </c>
      <c r="J25" s="50">
        <v>6</v>
      </c>
      <c r="P25" s="54">
        <f t="shared" si="4"/>
        <v>-3</v>
      </c>
      <c r="Q25" s="60">
        <f t="shared" si="5"/>
        <v>3</v>
      </c>
    </row>
    <row r="26" spans="1:17" s="51" customFormat="1" x14ac:dyDescent="0.3">
      <c r="A26" s="44">
        <v>26</v>
      </c>
      <c r="B26" s="45">
        <v>44883</v>
      </c>
      <c r="C26" s="46" t="s">
        <v>4</v>
      </c>
      <c r="D26" s="47">
        <v>2</v>
      </c>
      <c r="E26" s="46" t="s">
        <v>40</v>
      </c>
      <c r="F26" s="47">
        <v>18</v>
      </c>
      <c r="G26" s="48"/>
      <c r="H26" s="49" t="s">
        <v>49</v>
      </c>
      <c r="I26" s="50">
        <v>1</v>
      </c>
      <c r="J26" s="50">
        <v>4</v>
      </c>
      <c r="P26" s="54">
        <f t="shared" si="4"/>
        <v>-16</v>
      </c>
      <c r="Q26" s="60">
        <f t="shared" si="5"/>
        <v>16</v>
      </c>
    </row>
    <row r="27" spans="1:17" s="51" customFormat="1" x14ac:dyDescent="0.3">
      <c r="A27" s="44">
        <v>27</v>
      </c>
      <c r="B27" s="45">
        <v>44883</v>
      </c>
      <c r="C27" s="46" t="s">
        <v>2</v>
      </c>
      <c r="D27" s="47">
        <v>2</v>
      </c>
      <c r="E27" s="46" t="s">
        <v>46</v>
      </c>
      <c r="F27" s="47">
        <v>3</v>
      </c>
      <c r="G27" s="48"/>
      <c r="H27" s="49" t="s">
        <v>54</v>
      </c>
      <c r="I27" s="50">
        <v>2</v>
      </c>
      <c r="J27" s="50">
        <v>5</v>
      </c>
      <c r="P27" s="54">
        <f t="shared" si="4"/>
        <v>-1</v>
      </c>
      <c r="Q27" s="60">
        <f t="shared" si="5"/>
        <v>1</v>
      </c>
    </row>
    <row r="28" spans="1:17" s="51" customFormat="1" x14ac:dyDescent="0.3">
      <c r="A28" s="44">
        <v>28</v>
      </c>
      <c r="B28" s="45">
        <v>44884</v>
      </c>
      <c r="C28" s="46" t="s">
        <v>2</v>
      </c>
      <c r="D28" s="47">
        <v>7</v>
      </c>
      <c r="E28" s="46" t="s">
        <v>48</v>
      </c>
      <c r="F28" s="47">
        <v>3</v>
      </c>
      <c r="G28" s="48"/>
      <c r="H28" s="49" t="s">
        <v>60</v>
      </c>
      <c r="I28" s="50">
        <v>2</v>
      </c>
      <c r="J28" s="50">
        <v>7</v>
      </c>
      <c r="P28" s="54">
        <f t="shared" si="4"/>
        <v>4</v>
      </c>
      <c r="Q28" s="60">
        <f t="shared" si="5"/>
        <v>4</v>
      </c>
    </row>
    <row r="29" spans="1:17" s="51" customFormat="1" x14ac:dyDescent="0.3">
      <c r="A29" s="44">
        <v>29</v>
      </c>
      <c r="B29" s="45">
        <v>44884</v>
      </c>
      <c r="C29" s="46" t="s">
        <v>3</v>
      </c>
      <c r="D29" s="47">
        <v>0</v>
      </c>
      <c r="E29" s="46" t="s">
        <v>40</v>
      </c>
      <c r="F29" s="47">
        <v>7</v>
      </c>
      <c r="G29" s="48"/>
      <c r="H29" s="49" t="s">
        <v>49</v>
      </c>
      <c r="I29" s="50">
        <v>6</v>
      </c>
      <c r="J29" s="50">
        <v>4</v>
      </c>
      <c r="P29" s="54">
        <f t="shared" si="4"/>
        <v>-7</v>
      </c>
      <c r="Q29" s="60">
        <f t="shared" si="5"/>
        <v>7</v>
      </c>
    </row>
    <row r="30" spans="1:17" s="51" customFormat="1" x14ac:dyDescent="0.3">
      <c r="A30" s="44">
        <v>30</v>
      </c>
      <c r="B30" s="45">
        <v>44884</v>
      </c>
      <c r="C30" s="46" t="s">
        <v>46</v>
      </c>
      <c r="D30" s="47">
        <v>3</v>
      </c>
      <c r="E30" s="46" t="s">
        <v>25</v>
      </c>
      <c r="F30" s="47">
        <v>9</v>
      </c>
      <c r="G30" s="48"/>
      <c r="H30" s="49" t="s">
        <v>52</v>
      </c>
      <c r="I30" s="50">
        <v>5</v>
      </c>
      <c r="J30" s="50">
        <v>3</v>
      </c>
      <c r="P30" s="54">
        <f t="shared" si="4"/>
        <v>-6</v>
      </c>
      <c r="Q30" s="60">
        <f t="shared" si="5"/>
        <v>6</v>
      </c>
    </row>
    <row r="31" spans="1:17" s="51" customFormat="1" x14ac:dyDescent="0.3">
      <c r="A31" s="44">
        <v>11</v>
      </c>
      <c r="B31" s="45">
        <v>44897</v>
      </c>
      <c r="C31" s="46" t="s">
        <v>4</v>
      </c>
      <c r="D31" s="47">
        <v>2</v>
      </c>
      <c r="E31" s="46" t="s">
        <v>3</v>
      </c>
      <c r="F31" s="47">
        <v>9</v>
      </c>
      <c r="G31" s="48"/>
      <c r="H31" s="49" t="s">
        <v>53</v>
      </c>
      <c r="I31" s="50">
        <v>1</v>
      </c>
      <c r="J31" s="50">
        <v>6</v>
      </c>
      <c r="P31" s="54">
        <f t="shared" si="4"/>
        <v>-7</v>
      </c>
      <c r="Q31" s="60">
        <f t="shared" si="5"/>
        <v>7</v>
      </c>
    </row>
    <row r="32" spans="1:17" s="51" customFormat="1" x14ac:dyDescent="0.3">
      <c r="A32" s="44">
        <v>31</v>
      </c>
      <c r="B32" s="45">
        <v>44897</v>
      </c>
      <c r="C32" s="46" t="s">
        <v>46</v>
      </c>
      <c r="D32" s="47">
        <v>2</v>
      </c>
      <c r="E32" s="46" t="s">
        <v>2</v>
      </c>
      <c r="F32" s="47">
        <v>6</v>
      </c>
      <c r="G32" s="48"/>
      <c r="H32" s="49" t="s">
        <v>66</v>
      </c>
      <c r="I32" s="50">
        <v>5</v>
      </c>
      <c r="J32" s="50">
        <v>2</v>
      </c>
      <c r="P32" s="54">
        <f t="shared" si="4"/>
        <v>-4</v>
      </c>
      <c r="Q32" s="60">
        <f t="shared" si="5"/>
        <v>4</v>
      </c>
    </row>
    <row r="33" spans="1:17" s="51" customFormat="1" x14ac:dyDescent="0.3">
      <c r="A33" s="44">
        <v>32</v>
      </c>
      <c r="B33" s="45">
        <v>44897</v>
      </c>
      <c r="C33" s="46" t="s">
        <v>40</v>
      </c>
      <c r="D33" s="47">
        <v>4</v>
      </c>
      <c r="E33" s="46" t="s">
        <v>25</v>
      </c>
      <c r="F33" s="47">
        <v>2</v>
      </c>
      <c r="G33" s="48"/>
      <c r="H33" s="49" t="s">
        <v>50</v>
      </c>
      <c r="I33" s="50">
        <v>4</v>
      </c>
      <c r="J33" s="50">
        <v>3</v>
      </c>
      <c r="P33" s="54">
        <f t="shared" si="4"/>
        <v>2</v>
      </c>
      <c r="Q33" s="60">
        <f t="shared" si="5"/>
        <v>2</v>
      </c>
    </row>
    <row r="34" spans="1:17" s="51" customFormat="1" x14ac:dyDescent="0.3">
      <c r="A34" s="44">
        <v>33</v>
      </c>
      <c r="B34" s="45">
        <v>44898</v>
      </c>
      <c r="C34" s="46" t="s">
        <v>3</v>
      </c>
      <c r="D34" s="47">
        <v>2</v>
      </c>
      <c r="E34" s="46" t="s">
        <v>2</v>
      </c>
      <c r="F34" s="47">
        <v>1</v>
      </c>
      <c r="G34" s="48"/>
      <c r="H34" s="49" t="s">
        <v>51</v>
      </c>
      <c r="I34" s="50">
        <v>6</v>
      </c>
      <c r="J34" s="50">
        <v>2</v>
      </c>
      <c r="P34" s="54">
        <f t="shared" si="4"/>
        <v>1</v>
      </c>
      <c r="Q34" s="60">
        <f t="shared" si="5"/>
        <v>1</v>
      </c>
    </row>
    <row r="35" spans="1:17" s="51" customFormat="1" x14ac:dyDescent="0.3">
      <c r="A35" s="44">
        <v>34</v>
      </c>
      <c r="B35" s="45">
        <v>44898</v>
      </c>
      <c r="C35" s="46" t="s">
        <v>25</v>
      </c>
      <c r="D35" s="47">
        <v>4</v>
      </c>
      <c r="E35" s="46" t="s">
        <v>40</v>
      </c>
      <c r="F35" s="47">
        <v>6</v>
      </c>
      <c r="G35" s="48"/>
      <c r="H35" s="49" t="s">
        <v>49</v>
      </c>
      <c r="I35" s="50">
        <v>3</v>
      </c>
      <c r="J35" s="50">
        <v>4</v>
      </c>
      <c r="P35" s="54">
        <f t="shared" si="4"/>
        <v>-2</v>
      </c>
      <c r="Q35" s="60">
        <f t="shared" si="5"/>
        <v>2</v>
      </c>
    </row>
    <row r="36" spans="1:17" s="51" customFormat="1" x14ac:dyDescent="0.3">
      <c r="A36" s="44">
        <v>35</v>
      </c>
      <c r="B36" s="45">
        <v>44898</v>
      </c>
      <c r="C36" s="46" t="s">
        <v>48</v>
      </c>
      <c r="D36" s="47">
        <v>3</v>
      </c>
      <c r="E36" s="46" t="s">
        <v>4</v>
      </c>
      <c r="F36" s="47">
        <v>4</v>
      </c>
      <c r="G36" s="48"/>
      <c r="H36" s="49" t="s">
        <v>67</v>
      </c>
      <c r="I36" s="50">
        <v>7</v>
      </c>
      <c r="J36" s="50">
        <v>1</v>
      </c>
      <c r="P36" s="54">
        <f t="shared" si="4"/>
        <v>-1</v>
      </c>
      <c r="Q36" s="60">
        <f t="shared" si="5"/>
        <v>1</v>
      </c>
    </row>
    <row r="37" spans="1:17" s="51" customFormat="1" x14ac:dyDescent="0.3">
      <c r="A37" s="44">
        <v>36</v>
      </c>
      <c r="B37" s="45">
        <v>44902</v>
      </c>
      <c r="C37" s="46" t="s">
        <v>2</v>
      </c>
      <c r="D37" s="47">
        <v>5</v>
      </c>
      <c r="E37" s="46" t="s">
        <v>4</v>
      </c>
      <c r="F37" s="47">
        <v>4</v>
      </c>
      <c r="G37" s="48"/>
      <c r="H37" s="49" t="s">
        <v>60</v>
      </c>
      <c r="I37" s="50">
        <v>2</v>
      </c>
      <c r="J37" s="50">
        <v>1</v>
      </c>
      <c r="P37" s="54">
        <f t="shared" si="4"/>
        <v>1</v>
      </c>
      <c r="Q37" s="60">
        <f t="shared" si="5"/>
        <v>1</v>
      </c>
    </row>
    <row r="38" spans="1:17" s="51" customFormat="1" x14ac:dyDescent="0.3">
      <c r="A38" s="44">
        <v>37</v>
      </c>
      <c r="B38" s="45">
        <v>44904</v>
      </c>
      <c r="C38" s="46" t="s">
        <v>48</v>
      </c>
      <c r="D38" s="47">
        <v>0</v>
      </c>
      <c r="E38" s="46" t="s">
        <v>40</v>
      </c>
      <c r="F38" s="47">
        <v>7</v>
      </c>
      <c r="G38" s="48"/>
      <c r="H38" s="49" t="s">
        <v>49</v>
      </c>
      <c r="I38" s="50">
        <v>7</v>
      </c>
      <c r="J38" s="50">
        <v>4</v>
      </c>
      <c r="P38" s="54">
        <f t="shared" si="4"/>
        <v>-7</v>
      </c>
      <c r="Q38" s="60">
        <f t="shared" si="5"/>
        <v>7</v>
      </c>
    </row>
    <row r="39" spans="1:17" s="51" customFormat="1" x14ac:dyDescent="0.3">
      <c r="A39" s="44">
        <v>38</v>
      </c>
      <c r="B39" s="45">
        <v>44904</v>
      </c>
      <c r="C39" s="46" t="s">
        <v>4</v>
      </c>
      <c r="D39" s="47">
        <v>3</v>
      </c>
      <c r="E39" s="46" t="s">
        <v>2</v>
      </c>
      <c r="F39" s="47">
        <v>1</v>
      </c>
      <c r="G39" s="48"/>
      <c r="H39" s="49" t="s">
        <v>57</v>
      </c>
      <c r="I39" s="50">
        <v>1</v>
      </c>
      <c r="J39" s="50">
        <v>2</v>
      </c>
      <c r="P39" s="54">
        <f t="shared" si="4"/>
        <v>2</v>
      </c>
      <c r="Q39" s="60">
        <f t="shared" si="5"/>
        <v>2</v>
      </c>
    </row>
    <row r="40" spans="1:17" s="51" customFormat="1" x14ac:dyDescent="0.3">
      <c r="A40" s="44">
        <v>39</v>
      </c>
      <c r="B40" s="45">
        <v>44905</v>
      </c>
      <c r="C40" s="46" t="s">
        <v>40</v>
      </c>
      <c r="D40" s="47"/>
      <c r="E40" s="46" t="s">
        <v>2</v>
      </c>
      <c r="F40" s="47"/>
      <c r="G40" s="48"/>
      <c r="H40" s="49"/>
      <c r="I40" s="50"/>
      <c r="J40" s="50"/>
      <c r="P40" s="54">
        <f t="shared" si="4"/>
        <v>0</v>
      </c>
      <c r="Q40" s="60">
        <f t="shared" si="5"/>
        <v>0</v>
      </c>
    </row>
    <row r="41" spans="1:17" s="51" customFormat="1" x14ac:dyDescent="0.3">
      <c r="A41" s="44">
        <v>40</v>
      </c>
      <c r="B41" s="45">
        <v>44905</v>
      </c>
      <c r="C41" s="46" t="s">
        <v>48</v>
      </c>
      <c r="D41" s="47"/>
      <c r="E41" s="46" t="s">
        <v>4</v>
      </c>
      <c r="F41" s="47"/>
      <c r="G41" s="48"/>
      <c r="H41" s="49"/>
      <c r="I41" s="50"/>
      <c r="J41" s="50"/>
      <c r="P41" s="54">
        <f t="shared" si="4"/>
        <v>0</v>
      </c>
      <c r="Q41" s="60">
        <f t="shared" si="5"/>
        <v>0</v>
      </c>
    </row>
    <row r="42" spans="1:17" s="51" customFormat="1" x14ac:dyDescent="0.3">
      <c r="A42" s="44">
        <v>41</v>
      </c>
      <c r="B42" s="45">
        <v>44939</v>
      </c>
      <c r="C42" s="46" t="s">
        <v>2</v>
      </c>
      <c r="D42" s="47"/>
      <c r="E42" s="46" t="s">
        <v>25</v>
      </c>
      <c r="F42" s="47"/>
      <c r="G42" s="48"/>
      <c r="H42" s="49"/>
      <c r="I42" s="50"/>
      <c r="J42" s="50"/>
      <c r="P42" s="54">
        <f t="shared" si="4"/>
        <v>0</v>
      </c>
      <c r="Q42" s="60">
        <f t="shared" si="5"/>
        <v>0</v>
      </c>
    </row>
    <row r="43" spans="1:17" s="51" customFormat="1" x14ac:dyDescent="0.3">
      <c r="A43" s="44">
        <v>43</v>
      </c>
      <c r="B43" s="45">
        <v>44940</v>
      </c>
      <c r="C43" s="46" t="s">
        <v>25</v>
      </c>
      <c r="D43" s="47"/>
      <c r="E43" s="46" t="s">
        <v>2</v>
      </c>
      <c r="F43" s="47"/>
      <c r="G43" s="48"/>
      <c r="H43" s="49"/>
      <c r="I43" s="50"/>
      <c r="J43" s="50"/>
      <c r="P43" s="54">
        <f t="shared" si="4"/>
        <v>0</v>
      </c>
      <c r="Q43" s="60">
        <f t="shared" si="5"/>
        <v>0</v>
      </c>
    </row>
    <row r="44" spans="1:17" s="51" customFormat="1" x14ac:dyDescent="0.3">
      <c r="A44" s="44">
        <v>42</v>
      </c>
      <c r="B44" s="45">
        <v>44946</v>
      </c>
      <c r="C44" s="46" t="s">
        <v>25</v>
      </c>
      <c r="D44" s="47"/>
      <c r="E44" s="46" t="s">
        <v>2</v>
      </c>
      <c r="F44" s="47"/>
      <c r="G44" s="48"/>
      <c r="H44" s="49"/>
      <c r="I44" s="50"/>
      <c r="J44" s="50"/>
      <c r="P44" s="54">
        <f t="shared" si="4"/>
        <v>0</v>
      </c>
      <c r="Q44" s="60">
        <f t="shared" si="5"/>
        <v>0</v>
      </c>
    </row>
    <row r="45" spans="1:17" s="51" customFormat="1" x14ac:dyDescent="0.3">
      <c r="A45" s="44">
        <v>44</v>
      </c>
      <c r="B45" s="45">
        <v>44947</v>
      </c>
      <c r="C45" s="46" t="s">
        <v>48</v>
      </c>
      <c r="D45" s="47"/>
      <c r="E45" s="46" t="s">
        <v>2</v>
      </c>
      <c r="F45" s="47"/>
      <c r="G45" s="48"/>
      <c r="H45" s="49"/>
      <c r="I45" s="50"/>
      <c r="J45" s="50"/>
      <c r="P45" s="54">
        <f t="shared" si="4"/>
        <v>0</v>
      </c>
      <c r="Q45" s="60">
        <f t="shared" si="5"/>
        <v>0</v>
      </c>
    </row>
    <row r="46" spans="1:17" s="51" customFormat="1" x14ac:dyDescent="0.3">
      <c r="A46" s="44">
        <v>45</v>
      </c>
      <c r="B46" s="45">
        <v>44947</v>
      </c>
      <c r="C46" s="46" t="s">
        <v>40</v>
      </c>
      <c r="D46" s="47"/>
      <c r="E46" s="46" t="s">
        <v>4</v>
      </c>
      <c r="F46" s="47"/>
      <c r="G46" s="48"/>
      <c r="H46" s="49"/>
      <c r="I46" s="50"/>
      <c r="J46" s="50"/>
      <c r="P46" s="54">
        <f t="shared" si="4"/>
        <v>0</v>
      </c>
      <c r="Q46" s="60">
        <f t="shared" si="5"/>
        <v>0</v>
      </c>
    </row>
    <row r="47" spans="1:17" s="51" customFormat="1" x14ac:dyDescent="0.3">
      <c r="A47" s="44">
        <v>19</v>
      </c>
      <c r="B47" s="45">
        <v>44948</v>
      </c>
      <c r="C47" s="46" t="s">
        <v>25</v>
      </c>
      <c r="D47" s="47"/>
      <c r="E47" s="46" t="s">
        <v>4</v>
      </c>
      <c r="F47" s="47"/>
      <c r="G47" s="48"/>
      <c r="H47" s="49"/>
      <c r="I47" s="50"/>
      <c r="J47" s="50"/>
      <c r="P47" s="54">
        <f t="shared" si="4"/>
        <v>0</v>
      </c>
      <c r="Q47" s="60">
        <f t="shared" si="5"/>
        <v>0</v>
      </c>
    </row>
    <row r="48" spans="1:17" s="51" customFormat="1" x14ac:dyDescent="0.3">
      <c r="A48" s="44">
        <v>46</v>
      </c>
      <c r="B48" s="45">
        <v>44953</v>
      </c>
      <c r="C48" s="46" t="s">
        <v>40</v>
      </c>
      <c r="D48" s="47"/>
      <c r="E48" s="46" t="s">
        <v>2</v>
      </c>
      <c r="F48" s="47"/>
      <c r="G48" s="48"/>
      <c r="H48" s="49"/>
      <c r="I48" s="50"/>
      <c r="J48" s="50"/>
      <c r="P48" s="54">
        <f t="shared" ref="P48:P52" si="6">D48-F48</f>
        <v>0</v>
      </c>
      <c r="Q48" s="60">
        <f t="shared" ref="Q48" si="7">ABS(P48)</f>
        <v>0</v>
      </c>
    </row>
    <row r="49" spans="1:17" s="51" customFormat="1" x14ac:dyDescent="0.3">
      <c r="A49" s="44">
        <v>63</v>
      </c>
      <c r="B49" s="45">
        <v>44953</v>
      </c>
      <c r="C49" s="46" t="s">
        <v>48</v>
      </c>
      <c r="D49" s="47"/>
      <c r="E49" s="46" t="s">
        <v>3</v>
      </c>
      <c r="F49" s="47"/>
      <c r="G49" s="48"/>
      <c r="H49" s="49"/>
      <c r="I49" s="50"/>
      <c r="J49" s="50"/>
      <c r="P49" s="54">
        <f t="shared" si="6"/>
        <v>0</v>
      </c>
      <c r="Q49" s="60">
        <f t="shared" ref="Q49:Q52" si="8">ABS(P49)</f>
        <v>0</v>
      </c>
    </row>
    <row r="50" spans="1:17" s="51" customFormat="1" x14ac:dyDescent="0.3">
      <c r="A50" s="44">
        <v>47</v>
      </c>
      <c r="B50" s="45">
        <v>44954</v>
      </c>
      <c r="C50" s="46" t="s">
        <v>48</v>
      </c>
      <c r="D50" s="47"/>
      <c r="E50" s="46" t="s">
        <v>46</v>
      </c>
      <c r="F50" s="47"/>
      <c r="G50" s="48"/>
      <c r="H50" s="49"/>
      <c r="I50" s="50"/>
      <c r="J50" s="50"/>
      <c r="P50" s="54">
        <f t="shared" si="6"/>
        <v>0</v>
      </c>
      <c r="Q50" s="60">
        <f t="shared" si="8"/>
        <v>0</v>
      </c>
    </row>
    <row r="51" spans="1:17" s="51" customFormat="1" x14ac:dyDescent="0.3">
      <c r="A51" s="44">
        <v>48</v>
      </c>
      <c r="B51" s="45">
        <v>44954</v>
      </c>
      <c r="C51" s="46" t="s">
        <v>2</v>
      </c>
      <c r="D51" s="47"/>
      <c r="E51" s="46" t="s">
        <v>3</v>
      </c>
      <c r="F51" s="47"/>
      <c r="G51" s="48"/>
      <c r="H51" s="49"/>
      <c r="I51" s="50"/>
      <c r="J51" s="50"/>
      <c r="P51" s="54">
        <f t="shared" si="6"/>
        <v>0</v>
      </c>
      <c r="Q51" s="60">
        <f t="shared" si="8"/>
        <v>0</v>
      </c>
    </row>
    <row r="52" spans="1:17" s="51" customFormat="1" x14ac:dyDescent="0.3">
      <c r="A52" s="44">
        <v>49</v>
      </c>
      <c r="B52" s="45">
        <v>44955</v>
      </c>
      <c r="C52" s="46" t="s">
        <v>46</v>
      </c>
      <c r="D52" s="47"/>
      <c r="E52" s="46" t="s">
        <v>40</v>
      </c>
      <c r="F52" s="47"/>
      <c r="G52" s="48"/>
      <c r="H52" s="49"/>
      <c r="I52" s="50"/>
      <c r="J52" s="50"/>
      <c r="P52" s="54">
        <f t="shared" si="6"/>
        <v>0</v>
      </c>
      <c r="Q52" s="60">
        <f t="shared" si="8"/>
        <v>0</v>
      </c>
    </row>
    <row r="53" spans="1:17" s="51" customFormat="1" x14ac:dyDescent="0.3">
      <c r="A53" s="44">
        <v>50</v>
      </c>
      <c r="B53" s="45">
        <v>44960</v>
      </c>
      <c r="C53" s="46" t="s">
        <v>46</v>
      </c>
      <c r="D53" s="47"/>
      <c r="E53" s="46" t="s">
        <v>3</v>
      </c>
      <c r="F53" s="47"/>
      <c r="G53" s="48"/>
      <c r="H53" s="49"/>
      <c r="I53" s="50"/>
      <c r="J53" s="50"/>
      <c r="P53" s="54">
        <f t="shared" ref="P53:P54" si="9">D53-F53</f>
        <v>0</v>
      </c>
      <c r="Q53" s="60">
        <f t="shared" ref="Q53:Q54" si="10">ABS(P53)</f>
        <v>0</v>
      </c>
    </row>
    <row r="54" spans="1:17" s="51" customFormat="1" x14ac:dyDescent="0.3">
      <c r="A54" s="44">
        <v>51</v>
      </c>
      <c r="B54" s="45">
        <v>44960</v>
      </c>
      <c r="C54" s="46" t="s">
        <v>2</v>
      </c>
      <c r="D54" s="47"/>
      <c r="E54" s="46" t="s">
        <v>4</v>
      </c>
      <c r="F54" s="47"/>
      <c r="G54" s="48"/>
      <c r="H54" s="49"/>
      <c r="I54" s="50"/>
      <c r="J54" s="50"/>
      <c r="P54" s="54">
        <f t="shared" si="9"/>
        <v>0</v>
      </c>
      <c r="Q54" s="60">
        <f t="shared" si="10"/>
        <v>0</v>
      </c>
    </row>
    <row r="55" spans="1:17" s="51" customFormat="1" x14ac:dyDescent="0.3">
      <c r="A55" s="44">
        <v>52</v>
      </c>
      <c r="B55" s="45">
        <v>44960</v>
      </c>
      <c r="C55" s="46" t="s">
        <v>48</v>
      </c>
      <c r="D55" s="47"/>
      <c r="E55" s="46" t="s">
        <v>25</v>
      </c>
      <c r="F55" s="47"/>
      <c r="G55" s="48"/>
      <c r="H55" s="49"/>
      <c r="I55" s="50"/>
      <c r="J55" s="50"/>
      <c r="P55" s="54">
        <f t="shared" ref="P55:P63" si="11">D55-F55</f>
        <v>0</v>
      </c>
      <c r="Q55" s="60">
        <f t="shared" ref="Q55:Q63" si="12">ABS(P55)</f>
        <v>0</v>
      </c>
    </row>
    <row r="56" spans="1:17" s="51" customFormat="1" x14ac:dyDescent="0.3">
      <c r="A56" s="44">
        <v>53</v>
      </c>
      <c r="B56" s="45">
        <v>44961</v>
      </c>
      <c r="C56" s="46" t="s">
        <v>2</v>
      </c>
      <c r="D56" s="47"/>
      <c r="E56" s="46" t="s">
        <v>40</v>
      </c>
      <c r="F56" s="47"/>
      <c r="G56" s="48"/>
      <c r="H56" s="49"/>
      <c r="I56" s="50"/>
      <c r="J56" s="50"/>
      <c r="P56" s="54">
        <f t="shared" si="11"/>
        <v>0</v>
      </c>
      <c r="Q56" s="60">
        <f t="shared" si="12"/>
        <v>0</v>
      </c>
    </row>
    <row r="57" spans="1:17" s="51" customFormat="1" x14ac:dyDescent="0.3">
      <c r="A57" s="44">
        <v>54</v>
      </c>
      <c r="B57" s="45">
        <v>44962</v>
      </c>
      <c r="C57" s="46" t="s">
        <v>2</v>
      </c>
      <c r="D57" s="47"/>
      <c r="E57" s="46" t="s">
        <v>46</v>
      </c>
      <c r="F57" s="47"/>
      <c r="G57" s="48"/>
      <c r="H57" s="49"/>
      <c r="I57" s="50"/>
      <c r="J57" s="50"/>
      <c r="P57" s="54">
        <f t="shared" si="11"/>
        <v>0</v>
      </c>
      <c r="Q57" s="60">
        <f t="shared" si="12"/>
        <v>0</v>
      </c>
    </row>
    <row r="58" spans="1:17" s="51" customFormat="1" x14ac:dyDescent="0.3">
      <c r="A58" s="44">
        <v>55</v>
      </c>
      <c r="B58" s="45">
        <v>44962</v>
      </c>
      <c r="C58" s="46" t="s">
        <v>25</v>
      </c>
      <c r="D58" s="47"/>
      <c r="E58" s="46" t="s">
        <v>3</v>
      </c>
      <c r="F58" s="47"/>
      <c r="G58" s="48"/>
      <c r="H58" s="49"/>
      <c r="I58" s="50"/>
      <c r="J58" s="50"/>
      <c r="P58" s="54">
        <f>D58-F58</f>
        <v>0</v>
      </c>
      <c r="Q58" s="60">
        <f>ABS(P58)</f>
        <v>0</v>
      </c>
    </row>
    <row r="59" spans="1:17" s="51" customFormat="1" x14ac:dyDescent="0.3">
      <c r="A59" s="44">
        <v>56</v>
      </c>
      <c r="B59" s="45">
        <v>44962</v>
      </c>
      <c r="C59" s="46" t="s">
        <v>48</v>
      </c>
      <c r="D59" s="47"/>
      <c r="E59" s="46" t="s">
        <v>40</v>
      </c>
      <c r="F59" s="47"/>
      <c r="G59" s="48"/>
      <c r="H59" s="49"/>
      <c r="I59" s="50"/>
      <c r="J59" s="50"/>
      <c r="P59" s="54">
        <f t="shared" si="11"/>
        <v>0</v>
      </c>
      <c r="Q59" s="60">
        <f t="shared" si="12"/>
        <v>0</v>
      </c>
    </row>
    <row r="60" spans="1:17" s="51" customFormat="1" x14ac:dyDescent="0.3">
      <c r="A60" s="44">
        <v>57</v>
      </c>
      <c r="B60" s="45">
        <v>44967</v>
      </c>
      <c r="C60" s="46" t="s">
        <v>3</v>
      </c>
      <c r="D60" s="47"/>
      <c r="E60" s="46" t="s">
        <v>2</v>
      </c>
      <c r="F60" s="47"/>
      <c r="G60" s="48"/>
      <c r="H60" s="49"/>
      <c r="I60" s="50"/>
      <c r="J60" s="50"/>
      <c r="P60" s="54">
        <f t="shared" si="11"/>
        <v>0</v>
      </c>
      <c r="Q60" s="60">
        <f t="shared" si="12"/>
        <v>0</v>
      </c>
    </row>
    <row r="61" spans="1:17" s="51" customFormat="1" x14ac:dyDescent="0.3">
      <c r="A61" s="44">
        <v>58</v>
      </c>
      <c r="B61" s="45">
        <v>44967</v>
      </c>
      <c r="C61" s="46" t="s">
        <v>25</v>
      </c>
      <c r="D61" s="47"/>
      <c r="E61" s="46" t="s">
        <v>48</v>
      </c>
      <c r="F61" s="47"/>
      <c r="G61" s="48"/>
      <c r="H61" s="49"/>
      <c r="I61" s="50"/>
      <c r="J61" s="50"/>
      <c r="P61" s="54">
        <f t="shared" si="11"/>
        <v>0</v>
      </c>
      <c r="Q61" s="60">
        <f t="shared" si="12"/>
        <v>0</v>
      </c>
    </row>
    <row r="62" spans="1:17" s="51" customFormat="1" x14ac:dyDescent="0.3">
      <c r="A62" s="44">
        <v>59</v>
      </c>
      <c r="B62" s="45">
        <v>44967</v>
      </c>
      <c r="C62" s="46" t="s">
        <v>46</v>
      </c>
      <c r="D62" s="47"/>
      <c r="E62" s="46" t="s">
        <v>4</v>
      </c>
      <c r="F62" s="47"/>
      <c r="G62" s="48"/>
      <c r="H62" s="49"/>
      <c r="I62" s="50"/>
      <c r="J62" s="50"/>
      <c r="P62" s="54">
        <f t="shared" si="11"/>
        <v>0</v>
      </c>
      <c r="Q62" s="60">
        <f t="shared" si="12"/>
        <v>0</v>
      </c>
    </row>
    <row r="63" spans="1:17" s="51" customFormat="1" x14ac:dyDescent="0.3">
      <c r="A63" s="44">
        <v>60</v>
      </c>
      <c r="B63" s="45">
        <v>44968</v>
      </c>
      <c r="C63" s="46" t="s">
        <v>3</v>
      </c>
      <c r="D63" s="47"/>
      <c r="E63" s="46" t="s">
        <v>46</v>
      </c>
      <c r="F63" s="47"/>
      <c r="G63" s="48"/>
      <c r="H63" s="49"/>
      <c r="I63" s="50"/>
      <c r="J63" s="50"/>
      <c r="P63" s="54">
        <f t="shared" si="11"/>
        <v>0</v>
      </c>
      <c r="Q63" s="60">
        <f t="shared" si="12"/>
        <v>0</v>
      </c>
    </row>
    <row r="64" spans="1:17" s="51" customFormat="1" x14ac:dyDescent="0.3">
      <c r="A64" s="44">
        <v>61</v>
      </c>
      <c r="B64" s="45">
        <v>44968</v>
      </c>
      <c r="C64" s="46" t="s">
        <v>2</v>
      </c>
      <c r="D64" s="47"/>
      <c r="E64" s="46" t="s">
        <v>48</v>
      </c>
      <c r="F64" s="47"/>
      <c r="G64" s="48"/>
      <c r="H64" s="49"/>
      <c r="I64" s="50"/>
      <c r="J64" s="50"/>
      <c r="P64" s="54">
        <f t="shared" ref="P64:P65" si="13">D64-F64</f>
        <v>0</v>
      </c>
      <c r="Q64" s="60">
        <f t="shared" ref="Q64:Q65" si="14">ABS(P64)</f>
        <v>0</v>
      </c>
    </row>
    <row r="65" spans="1:17" s="51" customFormat="1" x14ac:dyDescent="0.3">
      <c r="A65" s="44">
        <v>62</v>
      </c>
      <c r="B65" s="45">
        <v>44968</v>
      </c>
      <c r="C65" s="46" t="s">
        <v>4</v>
      </c>
      <c r="D65" s="47"/>
      <c r="E65" s="46" t="s">
        <v>25</v>
      </c>
      <c r="F65" s="47"/>
      <c r="G65" s="48"/>
      <c r="H65" s="49"/>
      <c r="I65" s="50"/>
      <c r="J65" s="50"/>
      <c r="P65" s="54">
        <f t="shared" si="13"/>
        <v>0</v>
      </c>
      <c r="Q65" s="60">
        <f t="shared" si="14"/>
        <v>0</v>
      </c>
    </row>
    <row r="66" spans="1:17" s="51" customFormat="1" ht="15" thickBot="1" x14ac:dyDescent="0.35">
      <c r="A66" s="96"/>
      <c r="B66" s="96"/>
      <c r="C66" s="96"/>
      <c r="D66" s="96"/>
      <c r="E66" s="96"/>
      <c r="F66" s="96"/>
      <c r="G66" s="96"/>
      <c r="H66" s="49"/>
      <c r="I66" s="50"/>
      <c r="J66" s="50"/>
    </row>
    <row r="67" spans="1:17" s="51" customFormat="1" x14ac:dyDescent="0.3">
      <c r="A67" s="93" t="s">
        <v>45</v>
      </c>
      <c r="B67" s="94"/>
      <c r="C67" s="94"/>
      <c r="D67" s="94"/>
      <c r="E67" s="94"/>
      <c r="F67" s="94"/>
      <c r="G67" s="95"/>
      <c r="H67" s="49"/>
      <c r="I67" s="50"/>
      <c r="J67" s="50"/>
    </row>
    <row r="68" spans="1:17" s="51" customFormat="1" x14ac:dyDescent="0.3">
      <c r="A68" s="44" t="s">
        <v>34</v>
      </c>
      <c r="B68" s="45">
        <v>44975</v>
      </c>
      <c r="C68" s="46"/>
      <c r="D68" s="47"/>
      <c r="E68" s="46"/>
      <c r="F68" s="47"/>
      <c r="G68" s="48"/>
      <c r="H68" s="49"/>
      <c r="I68" s="50"/>
      <c r="J68" s="50"/>
    </row>
    <row r="69" spans="1:17" s="51" customFormat="1" x14ac:dyDescent="0.3">
      <c r="A69" s="44" t="s">
        <v>35</v>
      </c>
      <c r="B69" s="45">
        <v>44975</v>
      </c>
      <c r="C69" s="46"/>
      <c r="D69" s="47"/>
      <c r="E69" s="46"/>
      <c r="F69" s="47"/>
      <c r="G69" s="48"/>
      <c r="H69" s="49"/>
      <c r="I69" s="50"/>
      <c r="J69" s="50"/>
    </row>
    <row r="70" spans="1:17" s="51" customFormat="1" ht="15" thickBot="1" x14ac:dyDescent="0.35">
      <c r="A70" s="63" t="s">
        <v>36</v>
      </c>
      <c r="B70" s="64">
        <v>44976</v>
      </c>
      <c r="C70" s="65"/>
      <c r="D70" s="66"/>
      <c r="E70" s="65"/>
      <c r="F70" s="66"/>
      <c r="G70" s="67"/>
      <c r="H70" s="49"/>
      <c r="I70" s="50"/>
      <c r="J70" s="50"/>
    </row>
    <row r="71" spans="1:17" x14ac:dyDescent="0.3">
      <c r="A71" s="35"/>
      <c r="B71" s="36"/>
      <c r="C71" s="35"/>
      <c r="D71" s="35"/>
      <c r="E71" s="35"/>
      <c r="F71" s="35"/>
      <c r="G71" s="37"/>
      <c r="H71" s="29"/>
      <c r="I71" s="14"/>
      <c r="J71" s="14"/>
    </row>
    <row r="72" spans="1:17" x14ac:dyDescent="0.3">
      <c r="A72" s="35"/>
      <c r="B72" s="36"/>
      <c r="C72" s="35"/>
      <c r="D72" s="35"/>
      <c r="E72" s="35"/>
      <c r="F72" s="35"/>
      <c r="G72" s="37"/>
      <c r="H72" s="29"/>
      <c r="I72" s="14"/>
      <c r="J72" s="14"/>
    </row>
    <row r="73" spans="1:17" x14ac:dyDescent="0.3">
      <c r="A73" s="35"/>
      <c r="B73" s="36"/>
      <c r="C73" s="35"/>
      <c r="D73" s="35"/>
      <c r="E73" s="35"/>
      <c r="F73" s="35"/>
      <c r="G73" s="37"/>
      <c r="H73" s="29"/>
      <c r="I73" s="14"/>
      <c r="J73" s="14"/>
    </row>
    <row r="74" spans="1:17" x14ac:dyDescent="0.3">
      <c r="A74" s="35"/>
      <c r="B74" s="36"/>
      <c r="C74" s="35"/>
      <c r="D74" s="35"/>
      <c r="E74" s="35"/>
      <c r="F74" s="35"/>
      <c r="G74" s="37"/>
      <c r="H74" s="29"/>
      <c r="I74" s="14"/>
      <c r="J74" s="14"/>
    </row>
    <row r="75" spans="1:17" x14ac:dyDescent="0.3">
      <c r="A75" s="35"/>
      <c r="B75" s="36"/>
      <c r="C75" s="35"/>
      <c r="D75" s="35"/>
      <c r="E75" s="35"/>
      <c r="F75" s="35"/>
      <c r="G75" s="37"/>
      <c r="H75" s="29"/>
      <c r="I75" s="14"/>
      <c r="J75" s="14"/>
    </row>
    <row r="76" spans="1:17" x14ac:dyDescent="0.3">
      <c r="A76" s="35"/>
      <c r="B76" s="36"/>
      <c r="C76" s="35"/>
      <c r="D76" s="35"/>
      <c r="E76" s="35"/>
      <c r="F76" s="35"/>
      <c r="G76" s="37"/>
      <c r="H76" s="29"/>
      <c r="I76" s="14"/>
      <c r="J76" s="14"/>
    </row>
    <row r="77" spans="1:17" x14ac:dyDescent="0.3">
      <c r="A77" s="35"/>
      <c r="B77" s="36"/>
      <c r="C77" s="35"/>
      <c r="D77" s="35"/>
      <c r="E77" s="35"/>
      <c r="F77" s="35"/>
      <c r="G77" s="37"/>
      <c r="H77" s="29"/>
      <c r="I77" s="14"/>
      <c r="J77" s="14"/>
    </row>
    <row r="78" spans="1:17" x14ac:dyDescent="0.3">
      <c r="A78" s="35"/>
      <c r="B78" s="36"/>
      <c r="C78" s="35"/>
      <c r="D78" s="35"/>
      <c r="E78" s="35"/>
      <c r="F78" s="35"/>
      <c r="G78" s="37"/>
      <c r="H78" s="29"/>
      <c r="I78" s="14"/>
      <c r="J78" s="14"/>
    </row>
    <row r="79" spans="1:17" x14ac:dyDescent="0.3">
      <c r="A79" s="35"/>
      <c r="B79" s="36"/>
      <c r="C79" s="35"/>
      <c r="D79" s="35"/>
      <c r="E79" s="35"/>
      <c r="F79" s="35"/>
      <c r="G79" s="37"/>
      <c r="H79" s="29"/>
      <c r="I79" s="14"/>
      <c r="J79" s="14"/>
    </row>
    <row r="80" spans="1:17" x14ac:dyDescent="0.3">
      <c r="A80" s="35"/>
      <c r="B80" s="36"/>
      <c r="C80" s="35"/>
      <c r="D80" s="35"/>
      <c r="E80" s="35"/>
      <c r="F80" s="35"/>
      <c r="G80" s="37"/>
      <c r="H80" s="29"/>
      <c r="I80" s="14"/>
      <c r="J80" s="14"/>
    </row>
    <row r="81" spans="1:10" x14ac:dyDescent="0.3">
      <c r="A81" s="30"/>
      <c r="B81" s="31"/>
      <c r="C81" s="32"/>
      <c r="D81" s="33"/>
      <c r="E81" s="32"/>
      <c r="F81" s="33"/>
      <c r="G81" s="34"/>
      <c r="H81" s="13"/>
      <c r="I81" s="14"/>
      <c r="J81" s="14"/>
    </row>
    <row r="82" spans="1:10" x14ac:dyDescent="0.3">
      <c r="A82" s="12"/>
      <c r="B82" s="15"/>
      <c r="C82" s="25"/>
      <c r="D82" s="11"/>
      <c r="E82" s="25"/>
      <c r="F82" s="11"/>
      <c r="G82" s="10"/>
      <c r="H82" s="13"/>
      <c r="I82" s="14"/>
      <c r="J82" s="14"/>
    </row>
    <row r="83" spans="1:10" x14ac:dyDescent="0.3">
      <c r="A83" s="12"/>
      <c r="B83" s="15"/>
      <c r="C83" s="25"/>
      <c r="D83" s="11"/>
      <c r="E83" s="25"/>
      <c r="F83" s="11"/>
      <c r="G83" s="10"/>
      <c r="H83" s="13"/>
      <c r="I83" s="14"/>
      <c r="J83" s="14"/>
    </row>
    <row r="84" spans="1:10" x14ac:dyDescent="0.3">
      <c r="A84" s="12"/>
      <c r="B84" s="15"/>
      <c r="C84" s="25"/>
      <c r="D84" s="11"/>
      <c r="E84" s="25"/>
      <c r="F84" s="11"/>
      <c r="G84" s="10"/>
      <c r="H84" s="13"/>
      <c r="I84" s="14"/>
      <c r="J84" s="14"/>
    </row>
    <row r="85" spans="1:10" x14ac:dyDescent="0.3">
      <c r="A85" s="12"/>
      <c r="B85" s="15"/>
      <c r="C85" s="25"/>
      <c r="D85" s="11"/>
      <c r="E85" s="25"/>
      <c r="F85" s="11"/>
      <c r="G85" s="10"/>
      <c r="H85" s="13"/>
      <c r="I85" s="14"/>
      <c r="J85" s="14"/>
    </row>
    <row r="86" spans="1:10" x14ac:dyDescent="0.3">
      <c r="A86" s="12"/>
      <c r="B86" s="15"/>
      <c r="C86" s="25"/>
      <c r="D86" s="11"/>
      <c r="E86" s="25"/>
      <c r="F86" s="11"/>
      <c r="G86" s="10"/>
      <c r="H86" s="13"/>
      <c r="I86" s="14"/>
      <c r="J86" s="14"/>
    </row>
    <row r="87" spans="1:10" x14ac:dyDescent="0.3">
      <c r="A87" s="12"/>
      <c r="B87" s="15"/>
      <c r="C87" s="25"/>
      <c r="D87" s="11"/>
      <c r="E87" s="25"/>
      <c r="F87" s="11"/>
      <c r="G87" s="10"/>
      <c r="H87" s="13"/>
      <c r="I87" s="14"/>
      <c r="J87" s="14"/>
    </row>
    <row r="88" spans="1:10" x14ac:dyDescent="0.3">
      <c r="A88" s="12"/>
      <c r="B88" s="15"/>
      <c r="C88" s="25"/>
      <c r="D88" s="11"/>
      <c r="E88" s="25"/>
      <c r="F88" s="11"/>
      <c r="G88" s="10"/>
      <c r="H88" s="13"/>
      <c r="I88" s="14"/>
      <c r="J88" s="14"/>
    </row>
    <row r="89" spans="1:10" x14ac:dyDescent="0.3">
      <c r="A89" s="12"/>
      <c r="B89" s="15"/>
      <c r="C89" s="25"/>
      <c r="D89" s="11"/>
      <c r="E89" s="25"/>
      <c r="F89" s="11"/>
      <c r="G89" s="10"/>
      <c r="H89" s="13"/>
      <c r="I89" s="14"/>
      <c r="J89" s="14"/>
    </row>
    <row r="90" spans="1:10" x14ac:dyDescent="0.3">
      <c r="A90" s="12"/>
      <c r="B90" s="15"/>
      <c r="C90" s="25"/>
      <c r="D90" s="11"/>
      <c r="E90" s="25"/>
      <c r="F90" s="11"/>
      <c r="G90" s="10"/>
      <c r="H90" s="13"/>
      <c r="I90" s="14"/>
      <c r="J90" s="14"/>
    </row>
    <row r="91" spans="1:10" x14ac:dyDescent="0.3">
      <c r="A91" s="12"/>
      <c r="B91" s="15"/>
      <c r="C91" s="25"/>
      <c r="D91" s="11"/>
      <c r="E91" s="25"/>
      <c r="F91" s="11"/>
      <c r="G91" s="10"/>
      <c r="H91" s="13"/>
      <c r="I91" s="14"/>
      <c r="J91" s="14"/>
    </row>
    <row r="92" spans="1:10" x14ac:dyDescent="0.3">
      <c r="A92" s="12"/>
      <c r="B92" s="15"/>
      <c r="C92" s="25"/>
      <c r="D92" s="11"/>
      <c r="E92" s="25"/>
      <c r="F92" s="11"/>
      <c r="G92" s="10"/>
      <c r="H92" s="13"/>
      <c r="I92" s="14"/>
      <c r="J92" s="14"/>
    </row>
    <row r="93" spans="1:10" x14ac:dyDescent="0.3">
      <c r="A93" s="12"/>
      <c r="B93" s="15"/>
      <c r="C93" s="25"/>
      <c r="D93" s="11"/>
      <c r="E93" s="25"/>
      <c r="F93" s="11"/>
      <c r="G93" s="10"/>
      <c r="H93" s="13"/>
      <c r="I93" s="14"/>
      <c r="J93" s="14"/>
    </row>
    <row r="94" spans="1:10" x14ac:dyDescent="0.3">
      <c r="A94" s="8"/>
      <c r="B94" s="16"/>
      <c r="C94" s="25"/>
      <c r="D94" s="11"/>
      <c r="E94" s="25"/>
      <c r="F94" s="11"/>
      <c r="G94" s="9"/>
      <c r="H94" s="13"/>
      <c r="I94" s="14"/>
      <c r="J94" s="14"/>
    </row>
    <row r="95" spans="1:10" x14ac:dyDescent="0.3">
      <c r="A95" s="8"/>
      <c r="B95" s="16"/>
      <c r="C95" s="26"/>
      <c r="D95" s="8"/>
      <c r="E95" s="26"/>
      <c r="F95" s="8"/>
      <c r="G95" s="9"/>
      <c r="H95" s="13"/>
      <c r="I95" s="14"/>
      <c r="J95" s="14"/>
    </row>
    <row r="96" spans="1:10" x14ac:dyDescent="0.3">
      <c r="A96" s="8"/>
      <c r="B96" s="16"/>
      <c r="C96" s="26"/>
      <c r="D96" s="8"/>
      <c r="E96" s="26"/>
      <c r="F96" s="8"/>
      <c r="G96" s="9"/>
      <c r="H96" s="13"/>
      <c r="I96" s="14"/>
      <c r="J96" s="14"/>
    </row>
    <row r="97" spans="1:10" x14ac:dyDescent="0.3">
      <c r="A97" s="8"/>
      <c r="B97" s="16"/>
      <c r="C97" s="26"/>
      <c r="D97" s="8"/>
      <c r="E97" s="26"/>
      <c r="F97" s="8"/>
      <c r="G97" s="9"/>
      <c r="H97" s="13"/>
      <c r="I97" s="14"/>
      <c r="J97" s="14"/>
    </row>
    <row r="98" spans="1:10" x14ac:dyDescent="0.3">
      <c r="A98" s="8"/>
      <c r="B98" s="16"/>
      <c r="C98" s="26"/>
      <c r="D98" s="8"/>
      <c r="E98" s="26"/>
      <c r="F98" s="8"/>
      <c r="G98" s="9"/>
      <c r="H98" s="13"/>
      <c r="I98" s="14"/>
      <c r="J98" s="14"/>
    </row>
    <row r="99" spans="1:10" x14ac:dyDescent="0.3">
      <c r="A99" s="8"/>
      <c r="B99" s="16"/>
      <c r="C99" s="26"/>
      <c r="D99" s="8"/>
      <c r="E99" s="26"/>
      <c r="F99" s="8"/>
      <c r="G99" s="9"/>
      <c r="H99" s="13"/>
      <c r="I99" s="14"/>
      <c r="J99" s="14"/>
    </row>
    <row r="100" spans="1:10" x14ac:dyDescent="0.3">
      <c r="A100" s="8"/>
      <c r="B100" s="16"/>
      <c r="C100" s="26"/>
      <c r="D100" s="8"/>
      <c r="E100" s="26"/>
      <c r="F100" s="8"/>
      <c r="G100" s="9"/>
      <c r="H100" s="13"/>
      <c r="I100" s="14"/>
      <c r="J100" s="14"/>
    </row>
    <row r="101" spans="1:10" x14ac:dyDescent="0.3">
      <c r="A101" s="8"/>
      <c r="B101" s="16"/>
      <c r="C101" s="26"/>
      <c r="D101" s="8"/>
      <c r="E101" s="26"/>
      <c r="F101" s="8"/>
      <c r="G101" s="9"/>
      <c r="H101" s="13"/>
      <c r="I101" s="14"/>
      <c r="J101" s="14"/>
    </row>
    <row r="102" spans="1:10" x14ac:dyDescent="0.3">
      <c r="C102" s="26"/>
      <c r="D102" s="8"/>
      <c r="E102" s="26"/>
      <c r="F102" s="8"/>
    </row>
    <row r="103" spans="1:10" x14ac:dyDescent="0.3">
      <c r="H103">
        <f>D104+F104</f>
        <v>278</v>
      </c>
    </row>
    <row r="104" spans="1:10" x14ac:dyDescent="0.3">
      <c r="D104" s="1">
        <f>SUM(D3:D102)</f>
        <v>108</v>
      </c>
      <c r="F104" s="1">
        <f>SUM(F3:F102)</f>
        <v>170</v>
      </c>
    </row>
  </sheetData>
  <sortState xmlns:xlrd2="http://schemas.microsoft.com/office/spreadsheetml/2017/richdata2" ref="A19:U47">
    <sortCondition ref="B19:B47"/>
  </sortState>
  <mergeCells count="4">
    <mergeCell ref="R1:S1"/>
    <mergeCell ref="R2:S2"/>
    <mergeCell ref="A67:G67"/>
    <mergeCell ref="A66:G66"/>
  </mergeCells>
  <pageMargins left="0.7" right="0.7" top="0.75" bottom="0.75" header="0.3" footer="0.3"/>
  <pageSetup orientation="portrait" verticalDpi="2" r:id="rId1"/>
  <webPublishItems count="2">
    <webPublishItem id="11489" divId="MCHC 2019-20 Standings Worksheet_11489" sourceType="range" sourceRef="A2:G70" destinationFile="C:\Users\casse\OneDrive\Webmaster\methockey\results\results-include.html" autoRepublish="1"/>
    <webPublishItem id="12522" divId="MCHC 2019-20 Standings Worksheet_12522" sourceType="range" sourceRef="R1:U7" destinationFile="C:\Users\casse\OneDrive\Webmaster\methockey\results\current-season-summary-include.html" autoRepublish="1"/>
  </webPublishItem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Standings</vt:lpstr>
      <vt:lpstr>Old Results</vt:lpstr>
    </vt:vector>
  </TitlesOfParts>
  <Company>Suffolk County Community College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update</dc:creator>
  <cp:lastModifiedBy>Michael Casserly</cp:lastModifiedBy>
  <dcterms:created xsi:type="dcterms:W3CDTF">2010-11-16T06:35:46Z</dcterms:created>
  <dcterms:modified xsi:type="dcterms:W3CDTF">2022-12-10T21:37:38Z</dcterms:modified>
</cp:coreProperties>
</file>