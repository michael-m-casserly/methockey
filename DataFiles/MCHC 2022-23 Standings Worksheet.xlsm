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3951" documentId="8_{970098D5-2AA6-4EE8-9507-3C4E4A614472}" xr6:coauthVersionLast="47" xr6:coauthVersionMax="47" xr10:uidLastSave="{66EF2A28-C801-4625-93DF-622AE805426C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/>
  <c r="P65" i="1"/>
  <c r="P63" i="1"/>
  <c r="P60" i="1"/>
  <c r="P57" i="1"/>
  <c r="P56" i="1"/>
  <c r="P55" i="1"/>
  <c r="P64" i="1"/>
  <c r="Q64" i="1"/>
  <c r="P54" i="1"/>
  <c r="Q54" i="1"/>
  <c r="P61" i="1"/>
  <c r="Q61" i="1"/>
  <c r="P59" i="1"/>
  <c r="Q59" i="1"/>
  <c r="P53" i="1"/>
  <c r="Q53" i="1"/>
  <c r="P62" i="1"/>
  <c r="Q62" i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/>
  <c r="P43" i="1"/>
  <c r="Q43" i="1"/>
  <c r="P45" i="1"/>
  <c r="Q45" i="1"/>
  <c r="P42" i="1"/>
  <c r="Q42" i="1"/>
  <c r="P41" i="1"/>
  <c r="Q41" i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65" i="1"/>
  <c r="Q63" i="1"/>
  <c r="Q60" i="1"/>
  <c r="Q55" i="1"/>
  <c r="Q57" i="1"/>
  <c r="Q56" i="1"/>
  <c r="Q24" i="1"/>
  <c r="Q23" i="1"/>
  <c r="Q22" i="1"/>
  <c r="Q21" i="1"/>
  <c r="Q20" i="1"/>
  <c r="Q19" i="1"/>
  <c r="Q44" i="1"/>
  <c r="Q18" i="1"/>
  <c r="Q17" i="1"/>
  <c r="Q15" i="1"/>
  <c r="Q16" i="1"/>
  <c r="P14" i="1"/>
  <c r="Q14" i="1"/>
  <c r="P36" i="1"/>
  <c r="Q36" i="1"/>
  <c r="P13" i="1"/>
  <c r="Q13" i="1"/>
  <c r="P12" i="1"/>
  <c r="Q12" i="1"/>
  <c r="P31" i="1"/>
  <c r="Q31" i="1"/>
  <c r="P11" i="1"/>
  <c r="Q11" i="1"/>
  <c r="P10" i="1"/>
  <c r="Q10" i="1"/>
  <c r="P9" i="1"/>
  <c r="Q9" i="1"/>
  <c r="P8" i="1"/>
  <c r="Q8" i="1"/>
  <c r="F104" i="1"/>
  <c r="D104" i="1"/>
  <c r="G13" i="2" a="1"/>
  <c r="H103" i="1" l="1"/>
  <c r="T7" i="1"/>
  <c r="T5" i="1"/>
  <c r="T3" i="1"/>
  <c r="T4" i="1"/>
  <c r="T6" i="1"/>
  <c r="G13" i="2"/>
  <c r="T2" i="1" l="1"/>
  <c r="U7" i="1" s="1"/>
  <c r="U5" i="1"/>
  <c r="U3" i="1"/>
  <c r="U4" i="1" l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<sst xmlns="http://schemas.openxmlformats.org/spreadsheetml/2006/main" count="238" uniqueCount="72">
  <si>
    <t>Home</t>
  </si>
  <si>
    <t>Away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</si>
  <si>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</si>
  <si>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</si>
  <si>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</si>
  <si>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</si>
  <si>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</si>
  <si>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</si>
  <si>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</si>
  <si>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</si>
  <si>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</si>
  <si>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</si>
  <si>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</si>
  <si>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</si>
  <si>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</si>
  <si>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</si>
  <si>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</si>
  <si>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</si>
  <si>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</si>
  <si>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</si>
  <si>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</si>
  <si>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</si>
  <si>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</si>
  <si>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</si>
  <si>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</si>
  <si>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</si>
  <si>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</si>
  <si>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</si>
  <si>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</si>
  <si>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</si>
  <si>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</si>
  <si>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</si>
  <si>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</si>
  <si>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</si>
  <si>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</si>
  <si>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</si>
  <si>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</si>
  <si>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</si>
  <si>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</si>
  <si>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</si>
  <si>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</si>
  <si>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</si>
  <si>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</si>
  <si>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</si>
  <si>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</si>
  <si>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</si>
  <si>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</si>
  <si>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</si>
  <si>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</si>
  <si>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</si>
  <si>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</si>
  <si>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</si>
  <si>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</si>
  <si>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</si>
  <si>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</si>
  <si>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</si>
  <si>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</si>
  <si>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</si>
  <si>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</si>
  <si>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</si>
  <si>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</si>
  <si>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</si>
  <si>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</si>
  <si>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Columbia (Home) Wins</t>
  </si>
  <si>
    <t>Maritime in OT/SO</t>
  </si>
  <si>
    <t>Columbia in OT/SO</t>
  </si>
  <si>
    <t>**</t>
  </si>
  <si>
    <t>WestConn in OT/SO</t>
  </si>
  <si>
    <t>USMMA</t>
  </si>
  <si>
    <t>USMMA (Away) Wins</t>
  </si>
  <si>
    <t>USMMA (Home) Wins</t>
  </si>
  <si>
    <t>WestConn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</si>
</sst>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U12" sqref="U1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4</v>
      </c>
      <c r="D3" s="71" t="s">
        <v>27</v>
      </c>
      <c r="E3" s="71" t="s">
        <v>25</v>
      </c>
      <c r="F3" s="71" t="s">
        <v>26</v>
      </c>
      <c r="G3" s="71" t="s">
        <v>41</v>
      </c>
      <c r="H3" s="71" t="s">
        <v>42</v>
      </c>
      <c r="I3" s="71" t="s">
        <v>5</v>
      </c>
      <c r="J3" s="72" t="s">
        <v>6</v>
      </c>
      <c r="K3" s="81"/>
      <c r="M3" s="76" t="s">
        <v>12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38</v>
      </c>
      <c r="D4" s="28">
        <v>16</v>
      </c>
      <c r="E4" s="28">
        <v>13</v>
      </c>
      <c r="F4" s="28">
        <v>2</v>
      </c>
      <c r="G4" s="28">
        <v>1</v>
      </c>
      <c r="H4" s="74">
        <v>27</v>
      </c>
      <c r="I4" s="28">
        <v>98</v>
      </c>
      <c r="J4" s="75">
        <v>29</v>
      </c>
      <c r="K4" s="81"/>
      <c r="M4" s="4">
        <v>1</v>
      </c>
      <c r="N4" t="s">
        <v>13</v>
      </c>
    </row>
    <row r="5" spans="1:16" ht="18" customHeight="1" x14ac:dyDescent="0.3">
      <c r="A5" s="81"/>
      <c r="B5" s="69">
        <v>2</v>
      </c>
      <c r="C5" s="73" t="s">
        <v>23</v>
      </c>
      <c r="D5" s="28">
        <v>14</v>
      </c>
      <c r="E5" s="28">
        <v>10</v>
      </c>
      <c r="F5" s="28">
        <v>4</v>
      </c>
      <c r="G5" s="28">
        <v>0</v>
      </c>
      <c r="H5" s="74">
        <v>20</v>
      </c>
      <c r="I5" s="28">
        <v>88</v>
      </c>
      <c r="J5" s="75">
        <v>47</v>
      </c>
      <c r="K5" s="81"/>
      <c r="M5" s="4">
        <v>2</v>
      </c>
      <c r="N5" t="s">
        <v>14</v>
      </c>
    </row>
    <row r="6" spans="1:16" ht="18" customHeight="1" x14ac:dyDescent="0.3">
      <c r="A6" s="81"/>
      <c r="B6" s="69">
        <v>3</v>
      </c>
      <c r="C6" s="73" t="s">
        <v>2</v>
      </c>
      <c r="D6" s="28">
        <v>14</v>
      </c>
      <c r="E6" s="28">
        <v>7</v>
      </c>
      <c r="F6" s="28">
        <v>5</v>
      </c>
      <c r="G6" s="28">
        <v>2</v>
      </c>
      <c r="H6" s="74">
        <v>16</v>
      </c>
      <c r="I6" s="28">
        <v>41</v>
      </c>
      <c r="J6" s="75">
        <v>51</v>
      </c>
      <c r="K6" s="81"/>
      <c r="M6" s="4">
        <v>3</v>
      </c>
      <c r="N6" t="s">
        <v>15</v>
      </c>
    </row>
    <row r="7" spans="1:16" ht="18" customHeight="1" x14ac:dyDescent="0.3">
      <c r="A7" s="81"/>
      <c r="B7" s="69">
        <v>4</v>
      </c>
      <c r="C7" s="73" t="s">
        <v>3</v>
      </c>
      <c r="D7" s="28">
        <v>15</v>
      </c>
      <c r="E7" s="28">
        <v>6</v>
      </c>
      <c r="F7" s="28">
        <v>8</v>
      </c>
      <c r="G7" s="28">
        <v>1</v>
      </c>
      <c r="H7" s="74">
        <v>13</v>
      </c>
      <c r="I7" s="28">
        <v>55</v>
      </c>
      <c r="J7" s="75">
        <v>88</v>
      </c>
      <c r="K7" s="81"/>
      <c r="M7" s="4">
        <v>4</v>
      </c>
      <c r="N7" t="s">
        <v>17</v>
      </c>
    </row>
    <row r="8" spans="1:16" ht="18" customHeight="1" x14ac:dyDescent="0.3">
      <c r="A8" s="81"/>
      <c r="B8" s="69">
        <v>5</v>
      </c>
      <c r="C8" s="73" t="s">
        <v>68</v>
      </c>
      <c r="D8" s="28">
        <v>13</v>
      </c>
      <c r="E8" s="28">
        <v>6</v>
      </c>
      <c r="F8" s="28">
        <v>7</v>
      </c>
      <c r="G8" s="28">
        <v>0</v>
      </c>
      <c r="H8" s="74">
        <v>12</v>
      </c>
      <c r="I8" s="28">
        <v>39</v>
      </c>
      <c r="J8" s="75">
        <v>49</v>
      </c>
      <c r="K8" s="81"/>
      <c r="M8" s="4">
        <v>5</v>
      </c>
      <c r="N8" t="s">
        <v>19</v>
      </c>
    </row>
    <row r="9" spans="1:16" ht="18" customHeight="1" x14ac:dyDescent="0.3">
      <c r="A9" s="81"/>
      <c r="B9" s="69">
        <v>6</v>
      </c>
      <c r="C9" s="73" t="s">
        <v>44</v>
      </c>
      <c r="D9" s="28">
        <v>14</v>
      </c>
      <c r="E9" s="28">
        <v>6</v>
      </c>
      <c r="F9" s="28">
        <v>8</v>
      </c>
      <c r="G9" s="28">
        <v>0</v>
      </c>
      <c r="H9" s="74">
        <v>12</v>
      </c>
      <c r="I9" s="28">
        <v>43</v>
      </c>
      <c r="J9" s="75">
        <v>75</v>
      </c>
      <c r="K9" s="81"/>
    </row>
    <row r="10" spans="1:16" ht="18" customHeight="1" x14ac:dyDescent="0.3">
      <c r="A10" s="81"/>
      <c r="B10" s="69">
        <v>7</v>
      </c>
      <c r="C10" s="73" t="s">
        <v>46</v>
      </c>
      <c r="D10" s="28">
        <v>14</v>
      </c>
      <c r="E10" s="28">
        <v>2</v>
      </c>
      <c r="F10" s="28">
        <v>12</v>
      </c>
      <c r="G10" s="28">
        <v>0</v>
      </c>
      <c r="H10" s="74">
        <v>4</v>
      </c>
      <c r="I10" s="28">
        <v>30</v>
      </c>
      <c r="J10" s="75">
        <v>55</v>
      </c>
      <c r="K10" s="81"/>
      <c r="M10" t="s">
        <v>16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18</v>
      </c>
      <c r="N12" s="78"/>
      <c r="O12" s="78"/>
      <c r="P12" s="5">
        <v>49</v>
      </c>
    </row>
    <row r="13" spans="1:16" ht="16.2" thickTop="1" x14ac:dyDescent="0.3">
      <c r="A13" s="1"/>
      <c r="B13" s="68"/>
      <c r="C13" s="84" t="s">
        <v>40</v>
      </c>
      <c r="D13" s="85"/>
      <c r="E13" s="85"/>
      <c r="F13" s="85"/>
      <c r="G13" s="82" cm="1">
        <f t="array" aca="1" ref="G13" ca="1">LastModified()</f>
        <v>44940.697708333333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62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20</v>
      </c>
      <c r="H15" s="79"/>
      <c r="I15" s="7">
        <f>SUM(I4:I12)</f>
        <v>394</v>
      </c>
      <c r="J15" s="7">
        <f>SUM(J4:J12)</f>
        <v>394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39" zoomScaleNormal="100" workbookViewId="0">
      <selection activeCell="A52" sqref="A52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11</v>
      </c>
      <c r="I1" s="1" t="s">
        <v>9</v>
      </c>
      <c r="J1" s="1" t="s">
        <v>10</v>
      </c>
      <c r="M1" s="6" t="s">
        <v>22</v>
      </c>
      <c r="N1" s="6">
        <v>1</v>
      </c>
      <c r="O1" s="27" t="s">
        <v>39</v>
      </c>
      <c r="R1" s="89" t="s">
        <v>35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8</v>
      </c>
      <c r="B2" s="40" t="s">
        <v>7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28</v>
      </c>
      <c r="Q2" s="19" t="s">
        <v>29</v>
      </c>
      <c r="R2" s="91" t="s">
        <v>36</v>
      </c>
      <c r="S2" s="92"/>
      <c r="T2" s="22">
        <f>SUM(T3:T7)</f>
        <v>50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2</v>
      </c>
      <c r="D3" s="47">
        <v>0</v>
      </c>
      <c r="E3" s="46" t="s">
        <v>38</v>
      </c>
      <c r="F3" s="47">
        <v>7</v>
      </c>
      <c r="G3" s="48"/>
      <c r="H3" s="49" t="s">
        <v>47</v>
      </c>
      <c r="I3" s="50">
        <v>5</v>
      </c>
      <c r="J3" s="50">
        <v>3</v>
      </c>
      <c r="M3" s="52" t="s">
        <v>37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31</v>
      </c>
      <c r="T3" s="51">
        <f>COUNTIF($Q$3:$Q$65,R3)</f>
        <v>16</v>
      </c>
      <c r="U3" s="56">
        <f>IF($T$2&gt;0, T3/$T$2, 0)</f>
        <v>0.32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38</v>
      </c>
      <c r="D4" s="47">
        <v>1</v>
      </c>
      <c r="E4" s="46" t="s">
        <v>46</v>
      </c>
      <c r="F4" s="47">
        <v>0</v>
      </c>
      <c r="G4" s="48" t="s">
        <v>58</v>
      </c>
      <c r="H4" s="49" t="s">
        <v>59</v>
      </c>
      <c r="I4" s="50">
        <v>3</v>
      </c>
      <c r="J4" s="50">
        <v>7</v>
      </c>
      <c r="M4" s="53" t="s">
        <v>44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31</v>
      </c>
      <c r="T4" s="51">
        <f>COUNTIF($Q$3:$Q$65,R4)</f>
        <v>7</v>
      </c>
      <c r="U4" s="56">
        <f>IF($T$2&gt;0, T4/$T$2, 0)</f>
        <v>0.14000000000000001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38</v>
      </c>
      <c r="D5" s="47">
        <v>10</v>
      </c>
      <c r="E5" s="46" t="s">
        <v>44</v>
      </c>
      <c r="F5" s="47">
        <v>2</v>
      </c>
      <c r="G5" s="48"/>
      <c r="H5" s="49" t="s">
        <v>48</v>
      </c>
      <c r="I5" s="50">
        <v>3</v>
      </c>
      <c r="J5" s="50">
        <v>4</v>
      </c>
      <c r="M5" s="53" t="s">
        <v>21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31</v>
      </c>
      <c r="T5" s="51">
        <f>COUNTIF($Q$3:$Q$65,R5)</f>
        <v>8</v>
      </c>
      <c r="U5" s="56">
        <f>IF($T$2&gt;0, T5/$T$2, 0)</f>
        <v>0.16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2</v>
      </c>
      <c r="D6" s="47">
        <v>2</v>
      </c>
      <c r="E6" s="46" t="s">
        <v>46</v>
      </c>
      <c r="F6" s="47">
        <v>1</v>
      </c>
      <c r="G6" s="48"/>
      <c r="H6" s="49" t="s">
        <v>49</v>
      </c>
      <c r="I6" s="50">
        <v>5</v>
      </c>
      <c r="J6" s="50">
        <v>7</v>
      </c>
      <c r="M6" s="53" t="s">
        <v>68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31</v>
      </c>
      <c r="T6" s="51">
        <f>COUNTIF($Q$3:$Q$65,R6)</f>
        <v>3</v>
      </c>
      <c r="U6" s="56">
        <f>IF($T$2&gt;0, T6/$T$2, 0)</f>
        <v>0.06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44</v>
      </c>
      <c r="D7" s="47">
        <v>2</v>
      </c>
      <c r="E7" s="46" t="s">
        <v>23</v>
      </c>
      <c r="F7" s="47">
        <v>9</v>
      </c>
      <c r="G7" s="48"/>
      <c r="H7" s="49" t="s">
        <v>50</v>
      </c>
      <c r="I7" s="50">
        <v>4</v>
      </c>
      <c r="J7" s="50">
        <v>2</v>
      </c>
      <c r="M7" s="53" t="s">
        <v>45</v>
      </c>
      <c r="N7" s="53">
        <v>7</v>
      </c>
      <c r="P7" s="54">
        <f t="shared" si="0"/>
        <v>-7</v>
      </c>
      <c r="Q7" s="51">
        <f t="shared" si="1"/>
        <v>7</v>
      </c>
      <c r="R7" s="57" t="s">
        <v>30</v>
      </c>
      <c r="S7" s="58" t="s">
        <v>31</v>
      </c>
      <c r="T7" s="58">
        <f>COUNTIF($Q$3:$Q$65,"&gt;=5")</f>
        <v>16</v>
      </c>
      <c r="U7" s="59">
        <f>IF($T$2&gt;0, T7/$T$2, 0)</f>
        <v>0.32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23</v>
      </c>
      <c r="D8" s="47">
        <v>3</v>
      </c>
      <c r="E8" s="46" t="s">
        <v>2</v>
      </c>
      <c r="F8" s="47">
        <v>5</v>
      </c>
      <c r="G8" s="48"/>
      <c r="H8" s="49" t="s">
        <v>51</v>
      </c>
      <c r="I8" s="50">
        <v>2</v>
      </c>
      <c r="J8" s="50">
        <v>5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46</v>
      </c>
      <c r="D9" s="47">
        <v>1</v>
      </c>
      <c r="E9" s="46" t="s">
        <v>44</v>
      </c>
      <c r="F9" s="47">
        <v>4</v>
      </c>
      <c r="G9" s="48"/>
      <c r="H9" s="49" t="s">
        <v>52</v>
      </c>
      <c r="I9" s="50">
        <v>7</v>
      </c>
      <c r="J9" s="50">
        <v>4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3</v>
      </c>
      <c r="D10" s="47">
        <v>2</v>
      </c>
      <c r="E10" s="46" t="s">
        <v>23</v>
      </c>
      <c r="F10" s="47">
        <v>11</v>
      </c>
      <c r="G10" s="48"/>
      <c r="H10" s="49" t="s">
        <v>50</v>
      </c>
      <c r="I10" s="50">
        <v>1</v>
      </c>
      <c r="J10" s="50">
        <v>2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23</v>
      </c>
      <c r="D11" s="47">
        <v>5</v>
      </c>
      <c r="E11" s="46" t="s">
        <v>38</v>
      </c>
      <c r="F11" s="47">
        <v>3</v>
      </c>
      <c r="G11" s="48"/>
      <c r="H11" s="49" t="s">
        <v>53</v>
      </c>
      <c r="I11" s="50">
        <v>2</v>
      </c>
      <c r="J11" s="50">
        <v>3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3</v>
      </c>
      <c r="D12" s="47">
        <v>2</v>
      </c>
      <c r="E12" s="46" t="s">
        <v>38</v>
      </c>
      <c r="F12" s="47">
        <v>1</v>
      </c>
      <c r="G12" s="48"/>
      <c r="H12" s="49" t="s">
        <v>55</v>
      </c>
      <c r="I12" s="50">
        <v>1</v>
      </c>
      <c r="J12" s="50">
        <v>3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2</v>
      </c>
      <c r="D13" s="47">
        <v>3</v>
      </c>
      <c r="E13" s="46" t="s">
        <v>44</v>
      </c>
      <c r="F13" s="47">
        <v>4</v>
      </c>
      <c r="G13" s="48" t="s">
        <v>54</v>
      </c>
      <c r="H13" s="49" t="s">
        <v>56</v>
      </c>
      <c r="I13" s="50">
        <v>5</v>
      </c>
      <c r="J13" s="50">
        <v>4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46</v>
      </c>
      <c r="D14" s="47">
        <v>1</v>
      </c>
      <c r="E14" s="46" t="s">
        <v>23</v>
      </c>
      <c r="F14" s="47">
        <v>4</v>
      </c>
      <c r="G14" s="48"/>
      <c r="H14" s="49" t="s">
        <v>50</v>
      </c>
      <c r="I14" s="50">
        <v>7</v>
      </c>
      <c r="J14" s="50">
        <v>2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44</v>
      </c>
      <c r="D15" s="47">
        <v>7</v>
      </c>
      <c r="E15" s="46" t="s">
        <v>3</v>
      </c>
      <c r="F15" s="47">
        <v>6</v>
      </c>
      <c r="G15" s="48"/>
      <c r="H15" s="49" t="s">
        <v>57</v>
      </c>
      <c r="I15" s="50">
        <v>4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3</v>
      </c>
      <c r="D16" s="47">
        <v>2</v>
      </c>
      <c r="E16" s="46" t="s">
        <v>44</v>
      </c>
      <c r="F16" s="47">
        <v>5</v>
      </c>
      <c r="G16" s="48"/>
      <c r="H16" s="49" t="s">
        <v>52</v>
      </c>
      <c r="I16" s="50">
        <v>1</v>
      </c>
      <c r="J16" s="50">
        <v>4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38</v>
      </c>
      <c r="D17" s="47">
        <v>4</v>
      </c>
      <c r="E17" s="46" t="s">
        <v>2</v>
      </c>
      <c r="F17" s="47">
        <v>1</v>
      </c>
      <c r="G17" s="48"/>
      <c r="H17" s="49" t="s">
        <v>48</v>
      </c>
      <c r="I17" s="50">
        <v>3</v>
      </c>
      <c r="J17" s="50">
        <v>5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46</v>
      </c>
      <c r="D18" s="47">
        <v>1</v>
      </c>
      <c r="E18" s="46" t="s">
        <v>2</v>
      </c>
      <c r="F18" s="47">
        <v>2</v>
      </c>
      <c r="G18" s="48"/>
      <c r="H18" s="49" t="s">
        <v>51</v>
      </c>
      <c r="I18" s="50">
        <v>7</v>
      </c>
      <c r="J18" s="50">
        <v>5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3</v>
      </c>
      <c r="D19" s="47">
        <v>1</v>
      </c>
      <c r="E19" s="46" t="s">
        <v>46</v>
      </c>
      <c r="F19" s="47">
        <v>0</v>
      </c>
      <c r="G19" s="48" t="s">
        <v>58</v>
      </c>
      <c r="H19" s="49" t="s">
        <v>60</v>
      </c>
      <c r="I19" s="50">
        <v>1</v>
      </c>
      <c r="J19" s="50">
        <v>7</v>
      </c>
      <c r="P19" s="54">
        <f t="shared" ref="P19:P43" si="4">D19-F19</f>
        <v>1</v>
      </c>
      <c r="Q19" s="60">
        <f t="shared" ref="Q19:Q43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23</v>
      </c>
      <c r="D20" s="47">
        <v>5</v>
      </c>
      <c r="E20" s="46" t="s">
        <v>44</v>
      </c>
      <c r="F20" s="47">
        <v>4</v>
      </c>
      <c r="G20" s="48"/>
      <c r="H20" s="49" t="s">
        <v>53</v>
      </c>
      <c r="I20" s="50">
        <v>2</v>
      </c>
      <c r="J20" s="50">
        <v>4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3</v>
      </c>
      <c r="D21" s="47">
        <v>1</v>
      </c>
      <c r="E21" s="46" t="s">
        <v>2</v>
      </c>
      <c r="F21" s="47">
        <v>4</v>
      </c>
      <c r="G21" s="48"/>
      <c r="H21" s="49" t="s">
        <v>51</v>
      </c>
      <c r="I21" s="50">
        <v>1</v>
      </c>
      <c r="J21" s="50">
        <v>5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38</v>
      </c>
      <c r="D22" s="47">
        <v>8</v>
      </c>
      <c r="E22" s="46" t="s">
        <v>44</v>
      </c>
      <c r="F22" s="47">
        <v>1</v>
      </c>
      <c r="G22" s="48"/>
      <c r="H22" s="49" t="s">
        <v>48</v>
      </c>
      <c r="I22" s="50">
        <v>3</v>
      </c>
      <c r="J22" s="50">
        <v>4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2</v>
      </c>
      <c r="D23" s="47">
        <v>4</v>
      </c>
      <c r="E23" s="46" t="s">
        <v>23</v>
      </c>
      <c r="F23" s="47">
        <v>10</v>
      </c>
      <c r="G23" s="48"/>
      <c r="H23" s="49" t="s">
        <v>50</v>
      </c>
      <c r="I23" s="50">
        <v>5</v>
      </c>
      <c r="J23" s="50">
        <v>2</v>
      </c>
      <c r="N23" s="51">
        <f>LOOKUP(C24,M1:M5,N1:N5)</f>
        <v>4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44</v>
      </c>
      <c r="D24" s="47">
        <v>1</v>
      </c>
      <c r="E24" s="46" t="s">
        <v>46</v>
      </c>
      <c r="F24" s="47">
        <v>0</v>
      </c>
      <c r="G24" s="48" t="s">
        <v>58</v>
      </c>
      <c r="H24" s="49" t="s">
        <v>61</v>
      </c>
      <c r="I24" s="50">
        <v>4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3</v>
      </c>
      <c r="D25" s="47">
        <v>3</v>
      </c>
      <c r="E25" s="46" t="s">
        <v>2</v>
      </c>
      <c r="F25" s="47">
        <v>6</v>
      </c>
      <c r="G25" s="48"/>
      <c r="H25" s="49" t="s">
        <v>51</v>
      </c>
      <c r="I25" s="50">
        <v>1</v>
      </c>
      <c r="J25" s="50">
        <v>5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3</v>
      </c>
      <c r="D26" s="47">
        <v>2</v>
      </c>
      <c r="E26" s="46" t="s">
        <v>38</v>
      </c>
      <c r="F26" s="47">
        <v>18</v>
      </c>
      <c r="G26" s="48"/>
      <c r="H26" s="49" t="s">
        <v>47</v>
      </c>
      <c r="I26" s="50">
        <v>1</v>
      </c>
      <c r="J26" s="50">
        <v>3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68</v>
      </c>
      <c r="D27" s="47">
        <v>2</v>
      </c>
      <c r="E27" s="46" t="s">
        <v>44</v>
      </c>
      <c r="F27" s="47">
        <v>3</v>
      </c>
      <c r="G27" s="48"/>
      <c r="H27" s="49" t="s">
        <v>52</v>
      </c>
      <c r="I27" s="50">
        <v>6</v>
      </c>
      <c r="J27" s="50">
        <v>4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68</v>
      </c>
      <c r="D28" s="47">
        <v>7</v>
      </c>
      <c r="E28" s="46" t="s">
        <v>46</v>
      </c>
      <c r="F28" s="47">
        <v>3</v>
      </c>
      <c r="G28" s="48"/>
      <c r="H28" s="49" t="s">
        <v>69</v>
      </c>
      <c r="I28" s="50">
        <v>6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2</v>
      </c>
      <c r="D29" s="47">
        <v>0</v>
      </c>
      <c r="E29" s="46" t="s">
        <v>38</v>
      </c>
      <c r="F29" s="47">
        <v>7</v>
      </c>
      <c r="G29" s="48"/>
      <c r="H29" s="49" t="s">
        <v>47</v>
      </c>
      <c r="I29" s="50">
        <v>5</v>
      </c>
      <c r="J29" s="50">
        <v>3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44</v>
      </c>
      <c r="D30" s="47">
        <v>3</v>
      </c>
      <c r="E30" s="46" t="s">
        <v>23</v>
      </c>
      <c r="F30" s="47">
        <v>9</v>
      </c>
      <c r="G30" s="48"/>
      <c r="H30" s="49" t="s">
        <v>50</v>
      </c>
      <c r="I30" s="50">
        <v>4</v>
      </c>
      <c r="J30" s="50">
        <v>2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3</v>
      </c>
      <c r="D31" s="47">
        <v>2</v>
      </c>
      <c r="E31" s="46" t="s">
        <v>2</v>
      </c>
      <c r="F31" s="47">
        <v>9</v>
      </c>
      <c r="G31" s="48"/>
      <c r="H31" s="49" t="s">
        <v>51</v>
      </c>
      <c r="I31" s="50">
        <v>1</v>
      </c>
      <c r="J31" s="50">
        <v>5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44</v>
      </c>
      <c r="D32" s="47">
        <v>2</v>
      </c>
      <c r="E32" s="46" t="s">
        <v>68</v>
      </c>
      <c r="F32" s="47">
        <v>6</v>
      </c>
      <c r="G32" s="48"/>
      <c r="H32" s="49" t="s">
        <v>70</v>
      </c>
      <c r="I32" s="50">
        <v>4</v>
      </c>
      <c r="J32" s="50">
        <v>6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38</v>
      </c>
      <c r="D33" s="47">
        <v>4</v>
      </c>
      <c r="E33" s="46" t="s">
        <v>23</v>
      </c>
      <c r="F33" s="47">
        <v>2</v>
      </c>
      <c r="G33" s="48"/>
      <c r="H33" s="49" t="s">
        <v>48</v>
      </c>
      <c r="I33" s="50">
        <v>3</v>
      </c>
      <c r="J33" s="50">
        <v>2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2</v>
      </c>
      <c r="D34" s="47">
        <v>2</v>
      </c>
      <c r="E34" s="46" t="s">
        <v>68</v>
      </c>
      <c r="F34" s="47">
        <v>1</v>
      </c>
      <c r="G34" s="48"/>
      <c r="H34" s="49" t="s">
        <v>49</v>
      </c>
      <c r="I34" s="50">
        <v>5</v>
      </c>
      <c r="J34" s="50">
        <v>6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23</v>
      </c>
      <c r="D35" s="47">
        <v>4</v>
      </c>
      <c r="E35" s="46" t="s">
        <v>38</v>
      </c>
      <c r="F35" s="47">
        <v>6</v>
      </c>
      <c r="G35" s="48"/>
      <c r="H35" s="49" t="s">
        <v>47</v>
      </c>
      <c r="I35" s="50">
        <v>2</v>
      </c>
      <c r="J35" s="50">
        <v>3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46</v>
      </c>
      <c r="D36" s="47">
        <v>3</v>
      </c>
      <c r="E36" s="46" t="s">
        <v>3</v>
      </c>
      <c r="F36" s="47">
        <v>4</v>
      </c>
      <c r="G36" s="48"/>
      <c r="H36" s="49" t="s">
        <v>63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68</v>
      </c>
      <c r="D37" s="47">
        <v>5</v>
      </c>
      <c r="E37" s="46" t="s">
        <v>3</v>
      </c>
      <c r="F37" s="47">
        <v>4</v>
      </c>
      <c r="G37" s="48"/>
      <c r="H37" s="49" t="s">
        <v>69</v>
      </c>
      <c r="I37" s="50">
        <v>6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46</v>
      </c>
      <c r="D38" s="47">
        <v>0</v>
      </c>
      <c r="E38" s="46" t="s">
        <v>38</v>
      </c>
      <c r="F38" s="47">
        <v>7</v>
      </c>
      <c r="G38" s="48"/>
      <c r="H38" s="49" t="s">
        <v>47</v>
      </c>
      <c r="I38" s="50">
        <v>7</v>
      </c>
      <c r="J38" s="50">
        <v>3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3</v>
      </c>
      <c r="D39" s="47">
        <v>3</v>
      </c>
      <c r="E39" s="46" t="s">
        <v>68</v>
      </c>
      <c r="F39" s="47">
        <v>1</v>
      </c>
      <c r="G39" s="48"/>
      <c r="H39" s="49" t="s">
        <v>55</v>
      </c>
      <c r="I39" s="50">
        <v>1</v>
      </c>
      <c r="J39" s="50">
        <v>6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38</v>
      </c>
      <c r="D40" s="47">
        <v>5</v>
      </c>
      <c r="E40" s="46" t="s">
        <v>68</v>
      </c>
      <c r="F40" s="47">
        <v>2</v>
      </c>
      <c r="G40" s="48"/>
      <c r="H40" s="49" t="s">
        <v>48</v>
      </c>
      <c r="I40" s="50">
        <v>3</v>
      </c>
      <c r="J40" s="50">
        <v>6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46</v>
      </c>
      <c r="D41" s="47">
        <v>6</v>
      </c>
      <c r="E41" s="46" t="s">
        <v>3</v>
      </c>
      <c r="F41" s="47">
        <v>11</v>
      </c>
      <c r="G41" s="48"/>
      <c r="H41" s="49" t="s">
        <v>63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68</v>
      </c>
      <c r="D42" s="47">
        <v>0</v>
      </c>
      <c r="E42" s="46" t="s">
        <v>23</v>
      </c>
      <c r="F42" s="47">
        <v>9</v>
      </c>
      <c r="G42" s="48"/>
      <c r="H42" s="49" t="s">
        <v>50</v>
      </c>
      <c r="I42" s="50">
        <v>6</v>
      </c>
      <c r="J42" s="50">
        <v>2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23</v>
      </c>
      <c r="D43" s="47">
        <v>6</v>
      </c>
      <c r="E43" s="46" t="s">
        <v>68</v>
      </c>
      <c r="F43" s="47">
        <v>1</v>
      </c>
      <c r="G43" s="48"/>
      <c r="H43" s="49" t="s">
        <v>53</v>
      </c>
      <c r="I43" s="50">
        <v>2</v>
      </c>
      <c r="J43" s="50">
        <v>6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23</v>
      </c>
      <c r="D44" s="47">
        <v>8</v>
      </c>
      <c r="E44" s="46" t="s">
        <v>3</v>
      </c>
      <c r="F44" s="47">
        <v>7</v>
      </c>
      <c r="G44" s="48" t="s">
        <v>54</v>
      </c>
      <c r="H44" s="49" t="s">
        <v>64</v>
      </c>
      <c r="I44" s="50">
        <v>2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23</v>
      </c>
      <c r="D45" s="47">
        <v>3</v>
      </c>
      <c r="E45" s="46" t="s">
        <v>68</v>
      </c>
      <c r="F45" s="47">
        <v>5</v>
      </c>
      <c r="G45" s="48"/>
      <c r="H45" s="49" t="s">
        <v>70</v>
      </c>
      <c r="I45" s="50">
        <v>2</v>
      </c>
      <c r="J45" s="50">
        <v>6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46</v>
      </c>
      <c r="D46" s="47">
        <v>4</v>
      </c>
      <c r="E46" s="46" t="s">
        <v>68</v>
      </c>
      <c r="F46" s="47">
        <v>6</v>
      </c>
      <c r="G46" s="48"/>
      <c r="H46" s="49" t="s">
        <v>70</v>
      </c>
      <c r="I46" s="50">
        <v>7</v>
      </c>
      <c r="J46" s="50">
        <v>6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38</v>
      </c>
      <c r="D47" s="47">
        <v>4</v>
      </c>
      <c r="E47" s="46" t="s">
        <v>3</v>
      </c>
      <c r="F47" s="47">
        <v>5</v>
      </c>
      <c r="G47" s="48" t="s">
        <v>54</v>
      </c>
      <c r="H47" s="49" t="s">
        <v>65</v>
      </c>
      <c r="I47" s="50">
        <v>3</v>
      </c>
      <c r="J47" s="50">
        <v>1</v>
      </c>
      <c r="P47" s="54">
        <f>D47-F47</f>
        <v>-1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38</v>
      </c>
      <c r="D48" s="47">
        <v>5</v>
      </c>
      <c r="E48" s="46" t="s">
        <v>68</v>
      </c>
      <c r="F48" s="47">
        <v>0</v>
      </c>
      <c r="G48" s="48"/>
      <c r="H48" s="49" t="s">
        <v>48</v>
      </c>
      <c r="I48" s="50">
        <v>3</v>
      </c>
      <c r="J48" s="50">
        <v>6</v>
      </c>
      <c r="P48" s="54">
        <f t="shared" ref="P48:P52" si="6">D48-F48</f>
        <v>5</v>
      </c>
      <c r="Q48" s="60">
        <f t="shared" ref="Q48" si="7">ABS(P48)</f>
        <v>5</v>
      </c>
    </row>
    <row r="49" spans="1:17" s="51" customFormat="1" x14ac:dyDescent="0.3">
      <c r="A49" s="44">
        <v>63</v>
      </c>
      <c r="B49" s="45">
        <v>44953</v>
      </c>
      <c r="C49" s="46" t="s">
        <v>46</v>
      </c>
      <c r="D49" s="47">
        <v>4</v>
      </c>
      <c r="E49" s="46" t="s">
        <v>2</v>
      </c>
      <c r="F49" s="47">
        <v>3</v>
      </c>
      <c r="G49" s="48" t="s">
        <v>66</v>
      </c>
      <c r="H49" s="49" t="s">
        <v>67</v>
      </c>
      <c r="I49" s="50">
        <v>7</v>
      </c>
      <c r="J49" s="50">
        <v>5</v>
      </c>
      <c r="P49" s="54">
        <f t="shared" si="6"/>
        <v>1</v>
      </c>
      <c r="Q49" s="60">
        <f t="shared" ref="Q49:Q52" si="8">ABS(P49)</f>
        <v>1</v>
      </c>
    </row>
    <row r="50" spans="1:17" s="51" customFormat="1" x14ac:dyDescent="0.3">
      <c r="A50" s="44">
        <v>47</v>
      </c>
      <c r="B50" s="45">
        <v>44954</v>
      </c>
      <c r="C50" s="46" t="s">
        <v>46</v>
      </c>
      <c r="D50" s="47">
        <v>6</v>
      </c>
      <c r="E50" s="46" t="s">
        <v>44</v>
      </c>
      <c r="F50" s="47">
        <v>2</v>
      </c>
      <c r="G50" s="48"/>
      <c r="H50" s="49" t="s">
        <v>71</v>
      </c>
      <c r="I50" s="50">
        <v>7</v>
      </c>
      <c r="J50" s="50">
        <v>4</v>
      </c>
      <c r="P50" s="54">
        <f t="shared" si="6"/>
        <v>4</v>
      </c>
      <c r="Q50" s="60">
        <f t="shared" si="8"/>
        <v>4</v>
      </c>
    </row>
    <row r="51" spans="1:17" s="51" customFormat="1" x14ac:dyDescent="0.3">
      <c r="A51" s="44">
        <v>48</v>
      </c>
      <c r="B51" s="45">
        <v>44954</v>
      </c>
      <c r="C51" s="46" t="s">
        <v>68</v>
      </c>
      <c r="D51" s="47">
        <v>3</v>
      </c>
      <c r="E51" s="46" t="s">
        <v>2</v>
      </c>
      <c r="F51" s="47">
        <v>0</v>
      </c>
      <c r="G51" s="48"/>
      <c r="H51" s="49" t="s">
        <v>69</v>
      </c>
      <c r="I51" s="50">
        <v>6</v>
      </c>
      <c r="J51" s="50">
        <v>5</v>
      </c>
      <c r="P51" s="54">
        <f t="shared" si="6"/>
        <v>3</v>
      </c>
      <c r="Q51" s="60">
        <f t="shared" si="8"/>
        <v>3</v>
      </c>
    </row>
    <row r="52" spans="1:17" s="51" customFormat="1" x14ac:dyDescent="0.3">
      <c r="A52" s="44">
        <v>49</v>
      </c>
      <c r="B52" s="45">
        <v>44955</v>
      </c>
      <c r="C52" s="46" t="s">
        <v>44</v>
      </c>
      <c r="D52" s="47">
        <v>3</v>
      </c>
      <c r="E52" s="46" t="s">
        <v>38</v>
      </c>
      <c r="F52" s="47">
        <v>8</v>
      </c>
      <c r="G52" s="48"/>
      <c r="H52" s="49" t="s">
        <v>47</v>
      </c>
      <c r="I52" s="50">
        <v>4</v>
      </c>
      <c r="J52" s="50">
        <v>3</v>
      </c>
      <c r="P52" s="54">
        <f t="shared" si="6"/>
        <v>-5</v>
      </c>
      <c r="Q52" s="60">
        <f t="shared" si="8"/>
        <v>5</v>
      </c>
    </row>
    <row r="53" spans="1:17" s="51" customFormat="1" x14ac:dyDescent="0.3">
      <c r="A53" s="44">
        <v>50</v>
      </c>
      <c r="B53" s="45">
        <v>44960</v>
      </c>
      <c r="C53" s="46" t="s">
        <v>44</v>
      </c>
      <c r="D53" s="47"/>
      <c r="E53" s="46" t="s">
        <v>2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68</v>
      </c>
      <c r="D54" s="47"/>
      <c r="E54" s="46" t="s">
        <v>3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46</v>
      </c>
      <c r="D55" s="47"/>
      <c r="E55" s="46" t="s">
        <v>23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68</v>
      </c>
      <c r="D56" s="47"/>
      <c r="E56" s="46" t="s">
        <v>38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68</v>
      </c>
      <c r="D57" s="47"/>
      <c r="E57" s="46" t="s">
        <v>44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23</v>
      </c>
      <c r="D58" s="47"/>
      <c r="E58" s="46" t="s">
        <v>2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46</v>
      </c>
      <c r="D59" s="47"/>
      <c r="E59" s="46" t="s">
        <v>38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2</v>
      </c>
      <c r="D60" s="47"/>
      <c r="E60" s="46" t="s">
        <v>68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23</v>
      </c>
      <c r="D61" s="47"/>
      <c r="E61" s="46" t="s">
        <v>46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44</v>
      </c>
      <c r="D62" s="47"/>
      <c r="E62" s="46" t="s">
        <v>3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2</v>
      </c>
      <c r="D63" s="47"/>
      <c r="E63" s="46" t="s">
        <v>44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68</v>
      </c>
      <c r="D64" s="47"/>
      <c r="E64" s="46" t="s">
        <v>46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3</v>
      </c>
      <c r="D65" s="47"/>
      <c r="E65" s="46" t="s">
        <v>23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43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32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33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34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394</v>
      </c>
    </row>
    <row r="104" spans="1:10" x14ac:dyDescent="0.3">
      <c r="D104" s="1">
        <f>SUM(D3:D102)</f>
        <v>165</v>
      </c>
      <c r="F104" s="1">
        <f>SUM(F3:F102)</f>
        <v>229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2023-01-30T18:40:03Z</dcterms:modified>
</cp:coreProperties>
</file>