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269" documentId="8_{970098D5-2AA6-4EE8-9507-3C4E4A614472}" xr6:coauthVersionLast="47" xr6:coauthVersionMax="47" xr10:uidLastSave="{DA637F36-A430-4684-962F-E8068E91A5C4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<sst xmlns="http://schemas.openxmlformats.org/spreadsheetml/2006/main" count="199" uniqueCount="63">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</sst>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3" sqref="U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5</v>
      </c>
      <c r="E4" s="28">
        <v>4</v>
      </c>
      <c r="F4" s="28">
        <v>1</v>
      </c>
      <c r="G4" s="28">
        <v>0</v>
      </c>
      <c r="H4" s="74">
        <v>8</v>
      </c>
      <c r="I4" s="28">
        <v>32</v>
      </c>
      <c r="J4" s="75">
        <v>13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47</v>
      </c>
      <c r="D5" s="28">
        <v>6</v>
      </c>
      <c r="E5" s="28">
        <v>4</v>
      </c>
      <c r="F5" s="28">
        <v>2</v>
      </c>
      <c r="G5" s="28">
        <v>0</v>
      </c>
      <c r="H5" s="74">
        <v>8</v>
      </c>
      <c r="I5" s="28">
        <v>24</v>
      </c>
      <c r="J5" s="75">
        <v>31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40</v>
      </c>
      <c r="D6" s="28">
        <v>6</v>
      </c>
      <c r="E6" s="28">
        <v>3</v>
      </c>
      <c r="F6" s="28">
        <v>2</v>
      </c>
      <c r="G6" s="28">
        <v>1</v>
      </c>
      <c r="H6" s="74">
        <v>7</v>
      </c>
      <c r="I6" s="28">
        <v>29</v>
      </c>
      <c r="J6" s="75">
        <v>15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3</v>
      </c>
      <c r="D7" s="28">
        <v>6</v>
      </c>
      <c r="E7" s="28">
        <v>3</v>
      </c>
      <c r="F7" s="28">
        <v>2</v>
      </c>
      <c r="G7" s="28">
        <v>1</v>
      </c>
      <c r="H7" s="74">
        <v>7</v>
      </c>
      <c r="I7" s="28">
        <v>13</v>
      </c>
      <c r="J7" s="75">
        <v>20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4</v>
      </c>
      <c r="E8" s="28">
        <v>1</v>
      </c>
      <c r="F8" s="28">
        <v>3</v>
      </c>
      <c r="G8" s="28">
        <v>0</v>
      </c>
      <c r="H8" s="74">
        <v>2</v>
      </c>
      <c r="I8" s="28">
        <v>12</v>
      </c>
      <c r="J8" s="75">
        <v>24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49</v>
      </c>
      <c r="D9" s="28">
        <v>5</v>
      </c>
      <c r="E9" s="28">
        <v>1</v>
      </c>
      <c r="F9" s="28">
        <v>4</v>
      </c>
      <c r="G9" s="28">
        <v>0</v>
      </c>
      <c r="H9" s="74">
        <v>2</v>
      </c>
      <c r="I9" s="28">
        <v>9</v>
      </c>
      <c r="J9" s="75">
        <v>16</v>
      </c>
      <c r="K9" s="81"/>
    </row>
    <row r="10" spans="1:16" ht="18" customHeight="1" x14ac:dyDescent="0.3">
      <c r="A10" s="81"/>
      <c r="B10" s="69">
        <v>7</v>
      </c>
      <c r="C10" s="73" t="s">
        <v>2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18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44864.65116898148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119</v>
      </c>
      <c r="J15" s="7">
        <f>SUM(J4:J12)</f>
        <v>119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18" sqref="A18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16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6</v>
      </c>
      <c r="U3" s="56">
        <f>IF($T$2&gt;0, T3/$T$2, 0)</f>
        <v>0.375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-1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0.125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4</v>
      </c>
      <c r="U5" s="56">
        <f>IF($T$2&gt;0, T5/$T$2, 0)</f>
        <v>0.25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4</v>
      </c>
      <c r="U7" s="59">
        <f>IF($T$2&gt;0, T7/$T$2, 0)</f>
        <v>0.25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60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59</v>
      </c>
      <c r="H13" s="49" t="s">
        <v>61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55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62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47</v>
      </c>
      <c r="F16" s="47">
        <v>5</v>
      </c>
      <c r="G16" s="48"/>
      <c r="H16" s="49" t="s">
        <v>57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53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>
        <v>1</v>
      </c>
      <c r="E18" s="46" t="s">
        <v>3</v>
      </c>
      <c r="F18" s="47">
        <v>2</v>
      </c>
      <c r="G18" s="48"/>
      <c r="H18" s="49" t="s">
        <v>56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/>
      <c r="E20" s="46" t="s">
        <v>49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/>
      <c r="E21" s="46" t="s">
        <v>47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/>
      <c r="E22" s="46" t="s">
        <v>3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/>
      <c r="E23" s="46" t="s">
        <v>47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/>
      <c r="E24" s="46" t="s">
        <v>25</v>
      </c>
      <c r="F24" s="47"/>
      <c r="G24" s="48"/>
      <c r="H24" s="49"/>
      <c r="I24" s="50"/>
      <c r="J24" s="50"/>
      <c r="N24" s="51">
        <f>LOOKUP(C25,M1:M6,N1:N6)</f>
        <v>5</v>
      </c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/>
      <c r="E25" s="46" t="s">
        <v>49</v>
      </c>
      <c r="F25" s="47"/>
      <c r="G25" s="48"/>
      <c r="H25" s="49"/>
      <c r="I25" s="50"/>
      <c r="J25" s="50"/>
      <c r="O25" s="51">
        <f>LOOKUP(E25,M1:M6,N1:N6)</f>
        <v>6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/>
      <c r="E26" s="46" t="s">
        <v>3</v>
      </c>
      <c r="F26" s="47"/>
      <c r="G26" s="48"/>
      <c r="H26" s="49"/>
      <c r="I26" s="50"/>
      <c r="J26" s="50"/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/>
      <c r="E27" s="46" t="s">
        <v>40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/>
      <c r="E28" s="46" t="s">
        <v>47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/>
      <c r="E29" s="46" t="s">
        <v>49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/>
      <c r="E30" s="46" t="s">
        <v>40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/>
      <c r="E31" s="46" t="s">
        <v>25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119</v>
      </c>
    </row>
    <row r="104" spans="1:10" x14ac:dyDescent="0.3">
      <c r="D104" s="1">
        <f>SUM(D3:D102)</f>
        <v>49</v>
      </c>
      <c r="F104" s="1">
        <f>SUM(F3:F102)</f>
        <v>70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2022-10-30T19:39:30Z</dcterms:modified>
</cp:coreProperties>
</file>