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2402" documentId="8_{970098D5-2AA6-4EE8-9507-3C4E4A614472}" xr6:coauthVersionLast="47" xr6:coauthVersionMax="47" xr10:uidLastSave="{E3895D99-590D-4E89-B66E-3EB19B5E678B}"/>
  <bookViews>
    <workbookView xWindow="-108" yWindow="-108" windowWidth="23256" windowHeight="1245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3" i="1"/>
  <c r="Q43" i="1" s="1"/>
  <c r="P45" i="1"/>
  <c r="Q45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5" i="1"/>
  <c r="Q35" i="1" s="1"/>
  <c r="P34" i="1"/>
  <c r="Q34" i="1" s="1"/>
  <c r="P33" i="1"/>
  <c r="Q33" i="1" s="1"/>
  <c r="P32" i="1"/>
  <c r="Q32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 s="1"/>
  <c r="P36" i="1"/>
  <c r="Q36" i="1" s="1"/>
  <c r="P13" i="1"/>
  <c r="Q13" i="1" s="1"/>
  <c r="P12" i="1"/>
  <c r="Q12" i="1" s="1"/>
  <c r="P31" i="1"/>
  <c r="Q31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<sst xmlns="http://schemas.openxmlformats.org/spreadsheetml/2006/main" count="226" uniqueCount="68">
  <si>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</si>
  <si>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</si>
  <si>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</si>
  <si>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</si>
  <si>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</si>
  <si>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</si>
  <si>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</si>
  <si>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</si>
  <si>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</si>
  <si>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</si>
  <si>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</si>
  <si>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</si>
  <si>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</si>
  <si>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</si>
  <si>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</si>
  <si>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</si>
  <si>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</si>
  <si>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</si>
  <si>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</si>
  <si>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</si>
  <si>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</si>
  <si>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</si>
  <si>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</si>
  <si>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</si>
  <si>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</si>
  <si>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</si>
  <si>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</si>
  <si>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</si>
  <si>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</si>
  <si>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</si>
  <si>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</si>
  <si>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</si>
  <si>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</si>
  <si>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</si>
  <si>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</si>
  <si>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</si>
  <si>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</si>
  <si>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</si>
  <si>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</si>
  <si>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</si>
  <si>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</si>
  <si>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</si>
  <si>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</si>
  <si>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</si>
  <si>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</si>
  <si>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</si>
  <si>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</si>
  <si>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</si>
  <si>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</si>
  <si>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</si>
  <si>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</si>
  <si>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</si>
  <si>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</si>
  <si>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</si>
  <si>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</si>
  <si>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</si>
  <si>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</si>
  <si>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</si>
  <si>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</si>
  <si>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</si>
  <si>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Kings Point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</si>
  <si>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</si>
  <si>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</si>
  <si>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</si>
  <si>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</si>
  <si>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</si>
  <si>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Kings Point (Home) Wins</t>
  </si>
  <si>
    <t>Columbia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</si>
</sst>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40</v>
      </c>
      <c r="D4" s="28">
        <v>13</v>
      </c>
      <c r="E4" s="28">
        <v>11</v>
      </c>
      <c r="F4" s="28">
        <v>2</v>
      </c>
      <c r="G4" s="28">
        <v>0</v>
      </c>
      <c r="H4" s="74">
        <v>22</v>
      </c>
      <c r="I4" s="28">
        <v>81</v>
      </c>
      <c r="J4" s="75">
        <v>21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25</v>
      </c>
      <c r="D5" s="28">
        <v>12</v>
      </c>
      <c r="E5" s="28">
        <v>9</v>
      </c>
      <c r="F5" s="28">
        <v>3</v>
      </c>
      <c r="G5" s="28">
        <v>0</v>
      </c>
      <c r="H5" s="74">
        <v>18</v>
      </c>
      <c r="I5" s="28">
        <v>77</v>
      </c>
      <c r="J5" s="75">
        <v>35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3</v>
      </c>
      <c r="D6" s="28">
        <v>12</v>
      </c>
      <c r="E6" s="28">
        <v>7</v>
      </c>
      <c r="F6" s="28">
        <v>4</v>
      </c>
      <c r="G6" s="28">
        <v>1</v>
      </c>
      <c r="H6" s="74">
        <v>15</v>
      </c>
      <c r="I6" s="28">
        <v>38</v>
      </c>
      <c r="J6" s="75">
        <v>44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46</v>
      </c>
      <c r="D7" s="28">
        <v>12</v>
      </c>
      <c r="E7" s="28">
        <v>6</v>
      </c>
      <c r="F7" s="28">
        <v>6</v>
      </c>
      <c r="G7" s="28">
        <v>0</v>
      </c>
      <c r="H7" s="74">
        <v>12</v>
      </c>
      <c r="I7" s="28">
        <v>38</v>
      </c>
      <c r="J7" s="75">
        <v>61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13</v>
      </c>
      <c r="E8" s="28">
        <v>5</v>
      </c>
      <c r="F8" s="28">
        <v>8</v>
      </c>
      <c r="G8" s="28">
        <v>0</v>
      </c>
      <c r="H8" s="74">
        <v>10</v>
      </c>
      <c r="I8" s="28">
        <v>43</v>
      </c>
      <c r="J8" s="75">
        <v>76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9</v>
      </c>
      <c r="E9" s="28">
        <v>3</v>
      </c>
      <c r="F9" s="28">
        <v>6</v>
      </c>
      <c r="G9" s="28">
        <v>0</v>
      </c>
      <c r="H9" s="74">
        <v>6</v>
      </c>
      <c r="I9" s="28">
        <v>25</v>
      </c>
      <c r="J9" s="75">
        <v>37</v>
      </c>
      <c r="K9" s="81"/>
    </row>
    <row r="10" spans="1:16" ht="18" customHeight="1" x14ac:dyDescent="0.3">
      <c r="A10" s="81"/>
      <c r="B10" s="69">
        <v>7</v>
      </c>
      <c r="C10" s="73" t="s">
        <v>48</v>
      </c>
      <c r="D10" s="28">
        <v>11</v>
      </c>
      <c r="E10" s="28">
        <v>0</v>
      </c>
      <c r="F10" s="28">
        <v>11</v>
      </c>
      <c r="G10" s="28">
        <v>0</v>
      </c>
      <c r="H10" s="74">
        <v>0</v>
      </c>
      <c r="I10" s="28">
        <v>16</v>
      </c>
      <c r="J10" s="75">
        <v>44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43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44941.66064814815</v>
      </c>
      <c r="H13" s="82"/>
      <c r="I13" s="82"/>
      <c r="J13" s="83"/>
      <c r="K13" s="1"/>
      <c r="M13" s="42"/>
      <c r="N13" s="42"/>
      <c r="O13" s="42"/>
    </row>
    <row r="14" spans="1:16" ht="52.8" customHeight="1" thickBot="1" x14ac:dyDescent="0.35">
      <c r="B14" s="43"/>
      <c r="C14" s="86" t="s">
        <v>65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318</v>
      </c>
      <c r="J15" s="7">
        <f>SUM(J4:J12)</f>
        <v>318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abSelected="1" topLeftCell="A31" zoomScaleNormal="100" workbookViewId="0">
      <selection activeCell="A44" sqref="A44:XFD47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41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49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13</v>
      </c>
      <c r="U3" s="56">
        <f>IF($T$2&gt;0, T3/$T$2, 0)</f>
        <v>0.31707317073170732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1</v>
      </c>
      <c r="E4" s="46" t="s">
        <v>48</v>
      </c>
      <c r="F4" s="47">
        <v>0</v>
      </c>
      <c r="G4" s="48" t="s">
        <v>61</v>
      </c>
      <c r="H4" s="49" t="s">
        <v>62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5</v>
      </c>
      <c r="U4" s="56">
        <f>IF($T$2&gt;0, T4/$T$2, 0)</f>
        <v>0.12195121951219512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46</v>
      </c>
      <c r="F5" s="47">
        <v>2</v>
      </c>
      <c r="G5" s="48"/>
      <c r="H5" s="49" t="s">
        <v>50</v>
      </c>
      <c r="I5" s="50">
        <v>4</v>
      </c>
      <c r="J5" s="50">
        <v>5</v>
      </c>
      <c r="M5" s="53" t="s">
        <v>46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7</v>
      </c>
      <c r="U5" s="56">
        <f>IF($T$2&gt;0, T5/$T$2, 0)</f>
        <v>0.17073170731707318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48</v>
      </c>
      <c r="F6" s="47">
        <v>1</v>
      </c>
      <c r="G6" s="48"/>
      <c r="H6" s="49" t="s">
        <v>51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2</v>
      </c>
      <c r="U6" s="56">
        <f>IF($T$2&gt;0, T6/$T$2, 0)</f>
        <v>4.878048780487805E-2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46</v>
      </c>
      <c r="D7" s="47">
        <v>2</v>
      </c>
      <c r="E7" s="46" t="s">
        <v>25</v>
      </c>
      <c r="F7" s="47">
        <v>9</v>
      </c>
      <c r="G7" s="48"/>
      <c r="H7" s="49" t="s">
        <v>52</v>
      </c>
      <c r="I7" s="50">
        <v>5</v>
      </c>
      <c r="J7" s="50">
        <v>3</v>
      </c>
      <c r="M7" s="53" t="s">
        <v>47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14</v>
      </c>
      <c r="U7" s="59">
        <f>IF($T$2&gt;0, T7/$T$2, 0)</f>
        <v>0.34146341463414637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53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48</v>
      </c>
      <c r="D9" s="47">
        <v>1</v>
      </c>
      <c r="E9" s="46" t="s">
        <v>46</v>
      </c>
      <c r="F9" s="47">
        <v>4</v>
      </c>
      <c r="G9" s="48"/>
      <c r="H9" s="49" t="s">
        <v>54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52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55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57</v>
      </c>
      <c r="I12" s="50">
        <v>1</v>
      </c>
      <c r="J12" s="50">
        <v>4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46</v>
      </c>
      <c r="F13" s="47">
        <v>4</v>
      </c>
      <c r="G13" s="48" t="s">
        <v>56</v>
      </c>
      <c r="H13" s="49" t="s">
        <v>58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48</v>
      </c>
      <c r="D14" s="47">
        <v>1</v>
      </c>
      <c r="E14" s="46" t="s">
        <v>25</v>
      </c>
      <c r="F14" s="47">
        <v>4</v>
      </c>
      <c r="G14" s="48"/>
      <c r="H14" s="49" t="s">
        <v>52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46</v>
      </c>
      <c r="D15" s="47">
        <v>7</v>
      </c>
      <c r="E15" s="46" t="s">
        <v>4</v>
      </c>
      <c r="F15" s="47">
        <v>6</v>
      </c>
      <c r="G15" s="48"/>
      <c r="H15" s="49" t="s">
        <v>59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46</v>
      </c>
      <c r="F16" s="47">
        <v>5</v>
      </c>
      <c r="G16" s="48"/>
      <c r="H16" s="49" t="s">
        <v>54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50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48</v>
      </c>
      <c r="D18" s="47">
        <v>1</v>
      </c>
      <c r="E18" s="46" t="s">
        <v>3</v>
      </c>
      <c r="F18" s="47">
        <v>2</v>
      </c>
      <c r="G18" s="48"/>
      <c r="H18" s="49" t="s">
        <v>53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4</v>
      </c>
      <c r="D19" s="47">
        <v>1</v>
      </c>
      <c r="E19" s="46" t="s">
        <v>48</v>
      </c>
      <c r="F19" s="47">
        <v>0</v>
      </c>
      <c r="G19" s="48" t="s">
        <v>61</v>
      </c>
      <c r="H19" s="49" t="s">
        <v>63</v>
      </c>
      <c r="I19" s="50">
        <v>1</v>
      </c>
      <c r="J19" s="50">
        <v>7</v>
      </c>
      <c r="P19" s="54">
        <f t="shared" ref="P19:P47" si="4">D19-F19</f>
        <v>1</v>
      </c>
      <c r="Q19" s="60">
        <f t="shared" ref="Q19:Q47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25</v>
      </c>
      <c r="D20" s="47">
        <v>5</v>
      </c>
      <c r="E20" s="46" t="s">
        <v>46</v>
      </c>
      <c r="F20" s="47">
        <v>4</v>
      </c>
      <c r="G20" s="48"/>
      <c r="H20" s="49" t="s">
        <v>55</v>
      </c>
      <c r="I20" s="50">
        <v>3</v>
      </c>
      <c r="J20" s="50">
        <v>5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4</v>
      </c>
      <c r="D21" s="47">
        <v>1</v>
      </c>
      <c r="E21" s="46" t="s">
        <v>3</v>
      </c>
      <c r="F21" s="47">
        <v>4</v>
      </c>
      <c r="G21" s="48"/>
      <c r="H21" s="49" t="s">
        <v>53</v>
      </c>
      <c r="I21" s="50">
        <v>1</v>
      </c>
      <c r="J21" s="50">
        <v>6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40</v>
      </c>
      <c r="D22" s="47">
        <v>8</v>
      </c>
      <c r="E22" s="46" t="s">
        <v>46</v>
      </c>
      <c r="F22" s="47">
        <v>1</v>
      </c>
      <c r="G22" s="48"/>
      <c r="H22" s="49" t="s">
        <v>50</v>
      </c>
      <c r="I22" s="50">
        <v>4</v>
      </c>
      <c r="J22" s="50">
        <v>5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3</v>
      </c>
      <c r="D23" s="47">
        <v>4</v>
      </c>
      <c r="E23" s="46" t="s">
        <v>25</v>
      </c>
      <c r="F23" s="47">
        <v>10</v>
      </c>
      <c r="G23" s="48"/>
      <c r="H23" s="49" t="s">
        <v>52</v>
      </c>
      <c r="I23" s="50">
        <v>6</v>
      </c>
      <c r="J23" s="50">
        <v>3</v>
      </c>
      <c r="N23" s="51">
        <f>LOOKUP(C24,M1:M5,N1:N5)</f>
        <v>5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46</v>
      </c>
      <c r="D24" s="47">
        <v>1</v>
      </c>
      <c r="E24" s="46" t="s">
        <v>48</v>
      </c>
      <c r="F24" s="47">
        <v>0</v>
      </c>
      <c r="G24" s="48" t="s">
        <v>61</v>
      </c>
      <c r="H24" s="49" t="s">
        <v>64</v>
      </c>
      <c r="I24" s="50">
        <v>5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4</v>
      </c>
      <c r="D25" s="47">
        <v>3</v>
      </c>
      <c r="E25" s="46" t="s">
        <v>3</v>
      </c>
      <c r="F25" s="47">
        <v>6</v>
      </c>
      <c r="G25" s="48"/>
      <c r="H25" s="49" t="s">
        <v>53</v>
      </c>
      <c r="I25" s="50">
        <v>1</v>
      </c>
      <c r="J25" s="50">
        <v>6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4</v>
      </c>
      <c r="D26" s="47">
        <v>2</v>
      </c>
      <c r="E26" s="46" t="s">
        <v>40</v>
      </c>
      <c r="F26" s="47">
        <v>18</v>
      </c>
      <c r="G26" s="48"/>
      <c r="H26" s="49" t="s">
        <v>49</v>
      </c>
      <c r="I26" s="50">
        <v>1</v>
      </c>
      <c r="J26" s="50">
        <v>4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2</v>
      </c>
      <c r="D27" s="47">
        <v>2</v>
      </c>
      <c r="E27" s="46" t="s">
        <v>46</v>
      </c>
      <c r="F27" s="47">
        <v>3</v>
      </c>
      <c r="G27" s="48"/>
      <c r="H27" s="49" t="s">
        <v>54</v>
      </c>
      <c r="I27" s="50">
        <v>2</v>
      </c>
      <c r="J27" s="50">
        <v>5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2</v>
      </c>
      <c r="D28" s="47">
        <v>7</v>
      </c>
      <c r="E28" s="46" t="s">
        <v>48</v>
      </c>
      <c r="F28" s="47">
        <v>3</v>
      </c>
      <c r="G28" s="48"/>
      <c r="H28" s="49" t="s">
        <v>60</v>
      </c>
      <c r="I28" s="50">
        <v>2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3</v>
      </c>
      <c r="D29" s="47">
        <v>0</v>
      </c>
      <c r="E29" s="46" t="s">
        <v>40</v>
      </c>
      <c r="F29" s="47">
        <v>7</v>
      </c>
      <c r="G29" s="48"/>
      <c r="H29" s="49" t="s">
        <v>49</v>
      </c>
      <c r="I29" s="50">
        <v>6</v>
      </c>
      <c r="J29" s="50">
        <v>4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46</v>
      </c>
      <c r="D30" s="47">
        <v>3</v>
      </c>
      <c r="E30" s="46" t="s">
        <v>25</v>
      </c>
      <c r="F30" s="47">
        <v>9</v>
      </c>
      <c r="G30" s="48"/>
      <c r="H30" s="49" t="s">
        <v>52</v>
      </c>
      <c r="I30" s="50">
        <v>5</v>
      </c>
      <c r="J30" s="50">
        <v>3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4</v>
      </c>
      <c r="D31" s="47">
        <v>2</v>
      </c>
      <c r="E31" s="46" t="s">
        <v>3</v>
      </c>
      <c r="F31" s="47">
        <v>9</v>
      </c>
      <c r="G31" s="48"/>
      <c r="H31" s="49" t="s">
        <v>53</v>
      </c>
      <c r="I31" s="50">
        <v>1</v>
      </c>
      <c r="J31" s="50">
        <v>6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46</v>
      </c>
      <c r="D32" s="47">
        <v>2</v>
      </c>
      <c r="E32" s="46" t="s">
        <v>2</v>
      </c>
      <c r="F32" s="47">
        <v>6</v>
      </c>
      <c r="G32" s="48"/>
      <c r="H32" s="49" t="s">
        <v>66</v>
      </c>
      <c r="I32" s="50">
        <v>5</v>
      </c>
      <c r="J32" s="50">
        <v>2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40</v>
      </c>
      <c r="D33" s="47">
        <v>4</v>
      </c>
      <c r="E33" s="46" t="s">
        <v>25</v>
      </c>
      <c r="F33" s="47">
        <v>2</v>
      </c>
      <c r="G33" s="48"/>
      <c r="H33" s="49" t="s">
        <v>50</v>
      </c>
      <c r="I33" s="50">
        <v>4</v>
      </c>
      <c r="J33" s="50">
        <v>3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3</v>
      </c>
      <c r="D34" s="47">
        <v>2</v>
      </c>
      <c r="E34" s="46" t="s">
        <v>2</v>
      </c>
      <c r="F34" s="47">
        <v>1</v>
      </c>
      <c r="G34" s="48"/>
      <c r="H34" s="49" t="s">
        <v>51</v>
      </c>
      <c r="I34" s="50">
        <v>6</v>
      </c>
      <c r="J34" s="50">
        <v>2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25</v>
      </c>
      <c r="D35" s="47">
        <v>4</v>
      </c>
      <c r="E35" s="46" t="s">
        <v>40</v>
      </c>
      <c r="F35" s="47">
        <v>6</v>
      </c>
      <c r="G35" s="48"/>
      <c r="H35" s="49" t="s">
        <v>49</v>
      </c>
      <c r="I35" s="50">
        <v>3</v>
      </c>
      <c r="J35" s="50">
        <v>4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48</v>
      </c>
      <c r="D36" s="47">
        <v>3</v>
      </c>
      <c r="E36" s="46" t="s">
        <v>4</v>
      </c>
      <c r="F36" s="47">
        <v>4</v>
      </c>
      <c r="G36" s="48"/>
      <c r="H36" s="49" t="s">
        <v>67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2</v>
      </c>
      <c r="D37" s="47">
        <v>5</v>
      </c>
      <c r="E37" s="46" t="s">
        <v>4</v>
      </c>
      <c r="F37" s="47">
        <v>4</v>
      </c>
      <c r="G37" s="48"/>
      <c r="H37" s="49" t="s">
        <v>60</v>
      </c>
      <c r="I37" s="50">
        <v>2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48</v>
      </c>
      <c r="D38" s="47">
        <v>0</v>
      </c>
      <c r="E38" s="46" t="s">
        <v>40</v>
      </c>
      <c r="F38" s="47">
        <v>7</v>
      </c>
      <c r="G38" s="48"/>
      <c r="H38" s="49" t="s">
        <v>49</v>
      </c>
      <c r="I38" s="50">
        <v>7</v>
      </c>
      <c r="J38" s="50">
        <v>4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4</v>
      </c>
      <c r="D39" s="47">
        <v>3</v>
      </c>
      <c r="E39" s="46" t="s">
        <v>2</v>
      </c>
      <c r="F39" s="47">
        <v>1</v>
      </c>
      <c r="G39" s="48"/>
      <c r="H39" s="49" t="s">
        <v>57</v>
      </c>
      <c r="I39" s="50">
        <v>1</v>
      </c>
      <c r="J39" s="50">
        <v>2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40</v>
      </c>
      <c r="D40" s="47">
        <v>5</v>
      </c>
      <c r="E40" s="46" t="s">
        <v>2</v>
      </c>
      <c r="F40" s="47">
        <v>2</v>
      </c>
      <c r="G40" s="48"/>
      <c r="H40" s="49" t="s">
        <v>50</v>
      </c>
      <c r="I40" s="50">
        <v>4</v>
      </c>
      <c r="J40" s="50">
        <v>2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48</v>
      </c>
      <c r="D41" s="47">
        <v>6</v>
      </c>
      <c r="E41" s="46" t="s">
        <v>4</v>
      </c>
      <c r="F41" s="47">
        <v>11</v>
      </c>
      <c r="G41" s="48"/>
      <c r="H41" s="49" t="s">
        <v>67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2</v>
      </c>
      <c r="D42" s="47">
        <v>0</v>
      </c>
      <c r="E42" s="46" t="s">
        <v>25</v>
      </c>
      <c r="F42" s="47">
        <v>9</v>
      </c>
      <c r="G42" s="48"/>
      <c r="H42" s="49" t="s">
        <v>52</v>
      </c>
      <c r="I42" s="50">
        <v>2</v>
      </c>
      <c r="J42" s="50">
        <v>3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25</v>
      </c>
      <c r="D43" s="47">
        <v>6</v>
      </c>
      <c r="E43" s="46" t="s">
        <v>2</v>
      </c>
      <c r="F43" s="47">
        <v>1</v>
      </c>
      <c r="G43" s="48"/>
      <c r="H43" s="49" t="s">
        <v>55</v>
      </c>
      <c r="I43" s="50">
        <v>3</v>
      </c>
      <c r="J43" s="50">
        <v>2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25</v>
      </c>
      <c r="D44" s="47"/>
      <c r="E44" s="46" t="s">
        <v>4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48</v>
      </c>
      <c r="D46" s="47"/>
      <c r="E46" s="46" t="s">
        <v>2</v>
      </c>
      <c r="F46" s="47"/>
      <c r="G46" s="48"/>
      <c r="H46" s="49"/>
      <c r="I46" s="50"/>
      <c r="J46" s="50"/>
      <c r="P46" s="54">
        <f>D46-F46</f>
        <v>0</v>
      </c>
      <c r="Q46" s="60">
        <f>ABS(P46)</f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>D47-F47</f>
        <v>0</v>
      </c>
      <c r="Q47" s="60">
        <f>ABS(P47)</f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ref="P48:P52" si="6">D48-F48</f>
        <v>0</v>
      </c>
      <c r="Q48" s="60">
        <f t="shared" ref="Q48" si="7">ABS(P48)</f>
        <v>0</v>
      </c>
    </row>
    <row r="49" spans="1:17" s="51" customFormat="1" x14ac:dyDescent="0.3">
      <c r="A49" s="44">
        <v>63</v>
      </c>
      <c r="B49" s="45">
        <v>44953</v>
      </c>
      <c r="C49" s="46" t="s">
        <v>48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48</v>
      </c>
      <c r="D50" s="47"/>
      <c r="E50" s="46" t="s">
        <v>46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46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46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48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46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48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48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46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46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48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318</v>
      </c>
    </row>
    <row r="104" spans="1:10" x14ac:dyDescent="0.3">
      <c r="D104" s="1">
        <f>SUM(D3:D102)</f>
        <v>125</v>
      </c>
      <c r="F104" s="1">
        <f>SUM(F3:F102)</f>
        <v>193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2023-01-15T20:53:52Z</dcterms:modified>
</cp:coreProperties>
</file>