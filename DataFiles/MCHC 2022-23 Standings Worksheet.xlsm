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2645" documentId="8_{970098D5-2AA6-4EE8-9507-3C4E4A614472}" xr6:coauthVersionLast="47" xr6:coauthVersionMax="47" xr10:uidLastSave="{C2FDF2EE-072D-4800-B845-7812A312F33D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/>
  <c r="P65" i="1"/>
  <c r="P63" i="1"/>
  <c r="P60" i="1"/>
  <c r="P57" i="1"/>
  <c r="P56" i="1"/>
  <c r="P55" i="1"/>
  <c r="P64" i="1"/>
  <c r="Q64" i="1"/>
  <c r="P54" i="1"/>
  <c r="Q54" i="1"/>
  <c r="P61" i="1"/>
  <c r="Q61" i="1"/>
  <c r="P59" i="1"/>
  <c r="Q59" i="1"/>
  <c r="P53" i="1"/>
  <c r="Q53" i="1"/>
  <c r="P62" i="1"/>
  <c r="Q62" i="1"/>
  <c r="P52" i="1"/>
  <c r="Q52" i="1"/>
  <c r="P51" i="1"/>
  <c r="Q51" i="1"/>
  <c r="P50" i="1"/>
  <c r="Q50" i="1"/>
  <c r="P49" i="1"/>
  <c r="Q49" i="1"/>
  <c r="P48" i="1"/>
  <c r="Q48" i="1"/>
  <c r="P47" i="1"/>
  <c r="Q47" i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T4" i="1"/>
  <c r="T6" i="1"/>
  <c r="T7" i="1"/>
  <c r="T5" i="1"/>
  <c r="T3" i="1"/>
  <c r="F104" i="1"/>
  <c r="D104" i="1"/>
  <c r="T2" i="1"/>
  <c r="H103" i="1"/>
  <c r="U7" i="1"/>
  <c r="U6" i="1"/>
  <c r="U5" i="1"/>
  <c r="U3" i="1"/>
  <c r="U4" i="1"/>
  <c r="U8" i="1"/>
  <c r="G13" i="2" a="1"/>
  <c r="G1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<sst xmlns="http://schemas.openxmlformats.org/spreadsheetml/2006/main" count="228" uniqueCount="69">
  <si>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</si>
  <si>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</si>
  <si>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</si>
  <si>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</si>
  <si>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</si>
  <si>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</si>
  <si>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</si>
  <si>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</si>
  <si>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</si>
  <si>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</si>
  <si>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</si>
  <si>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</si>
  <si>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</si>
  <si>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</si>
  <si>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</si>
  <si>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</si>
  <si>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</si>
  <si>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</si>
  <si>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</si>
  <si>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</si>
  <si>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</si>
  <si>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</si>
  <si>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</si>
  <si>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</si>
  <si>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</si>
  <si>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</si>
  <si>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</si>
  <si>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</si>
  <si>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</si>
  <si>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</si>
  <si>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</si>
  <si>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</si>
  <si>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</si>
  <si>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</si>
  <si>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</si>
  <si>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</si>
  <si>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</si>
  <si>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</si>
  <si>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</si>
  <si>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</si>
  <si>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</si>
  <si>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</si>
  <si>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</si>
  <si>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</si>
  <si>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</si>
  <si>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</si>
  <si>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</si>
  <si>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</si>
  <si>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</si>
  <si>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</si>
  <si>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</si>
  <si>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</si>
  <si>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</si>
  <si>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</si>
  <si>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</si>
  <si>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</si>
  <si>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</si>
  <si>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</si>
  <si>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</si>
  <si>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</si>
  <si>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</si>
  <si>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</si>
  <si>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</si>
  <si>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</si>
  <si>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</si>
  <si>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</si>
  <si>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</si>
  <si>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</si>
  <si>
    <t>Maritime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</si>
</sst>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26" sqref="T2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13</v>
      </c>
      <c r="E4" s="28">
        <v>11</v>
      </c>
      <c r="F4" s="28">
        <v>2</v>
      </c>
      <c r="G4" s="28">
        <v>0</v>
      </c>
      <c r="H4" s="74">
        <v>22</v>
      </c>
      <c r="I4" s="28">
        <v>81</v>
      </c>
      <c r="J4" s="75">
        <v>21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25</v>
      </c>
      <c r="D5" s="28">
        <v>13</v>
      </c>
      <c r="E5" s="28">
        <v>10</v>
      </c>
      <c r="F5" s="28">
        <v>3</v>
      </c>
      <c r="G5" s="28">
        <v>0</v>
      </c>
      <c r="H5" s="74">
        <v>20</v>
      </c>
      <c r="I5" s="28">
        <v>85</v>
      </c>
      <c r="J5" s="75">
        <v>42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12</v>
      </c>
      <c r="E6" s="28">
        <v>7</v>
      </c>
      <c r="F6" s="28">
        <v>4</v>
      </c>
      <c r="G6" s="28">
        <v>1</v>
      </c>
      <c r="H6" s="74">
        <v>15</v>
      </c>
      <c r="I6" s="28">
        <v>38</v>
      </c>
      <c r="J6" s="75">
        <v>44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46</v>
      </c>
      <c r="D7" s="28">
        <v>12</v>
      </c>
      <c r="E7" s="28">
        <v>6</v>
      </c>
      <c r="F7" s="28">
        <v>6</v>
      </c>
      <c r="G7" s="28">
        <v>0</v>
      </c>
      <c r="H7" s="74">
        <v>12</v>
      </c>
      <c r="I7" s="28">
        <v>38</v>
      </c>
      <c r="J7" s="75">
        <v>61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14</v>
      </c>
      <c r="E8" s="28">
        <v>5</v>
      </c>
      <c r="F8" s="28">
        <v>8</v>
      </c>
      <c r="G8" s="28">
        <v>1</v>
      </c>
      <c r="H8" s="74">
        <v>11</v>
      </c>
      <c r="I8" s="28">
        <v>50</v>
      </c>
      <c r="J8" s="75">
        <v>84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9</v>
      </c>
      <c r="E9" s="28">
        <v>3</v>
      </c>
      <c r="F9" s="28">
        <v>6</v>
      </c>
      <c r="G9" s="28">
        <v>0</v>
      </c>
      <c r="H9" s="74">
        <v>6</v>
      </c>
      <c r="I9" s="28">
        <v>25</v>
      </c>
      <c r="J9" s="75">
        <v>37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11</v>
      </c>
      <c r="E10" s="28">
        <v>0</v>
      </c>
      <c r="F10" s="28">
        <v>11</v>
      </c>
      <c r="G10" s="28">
        <v>0</v>
      </c>
      <c r="H10" s="74">
        <v>0</v>
      </c>
      <c r="I10" s="28">
        <v>16</v>
      </c>
      <c r="J10" s="75">
        <v>44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19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44946.715543981481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333</v>
      </c>
      <c r="J15" s="7">
        <f>SUM(J4:J12)</f>
        <v>333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22" zoomScaleNormal="100" workbookViewId="0">
      <selection activeCell="A44" sqref="A44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42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14</v>
      </c>
      <c r="U3" s="56">
        <f>IF($T$2&gt;0, T3/$T$2, 0)</f>
        <v>0.33333333333333331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5</v>
      </c>
      <c r="U4" s="56">
        <f>IF($T$2&gt;0, T4/$T$2, 0)</f>
        <v>0.11904761904761904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7</v>
      </c>
      <c r="U5" s="56">
        <f>IF($T$2&gt;0, T5/$T$2, 0)</f>
        <v>0.16666666666666666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4.7619047619047616E-2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14</v>
      </c>
      <c r="U7" s="59">
        <f>IF($T$2&gt;0, T7/$T$2, 0)</f>
        <v>0.33333333333333331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0.99999999999999978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>
        <v>5</v>
      </c>
      <c r="E37" s="46" t="s">
        <v>4</v>
      </c>
      <c r="F37" s="47">
        <v>4</v>
      </c>
      <c r="G37" s="48"/>
      <c r="H37" s="49" t="s">
        <v>60</v>
      </c>
      <c r="I37" s="50">
        <v>2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>
        <v>0</v>
      </c>
      <c r="E38" s="46" t="s">
        <v>40</v>
      </c>
      <c r="F38" s="47">
        <v>7</v>
      </c>
      <c r="G38" s="48"/>
      <c r="H38" s="49" t="s">
        <v>49</v>
      </c>
      <c r="I38" s="50">
        <v>7</v>
      </c>
      <c r="J38" s="50">
        <v>4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>
        <v>3</v>
      </c>
      <c r="E39" s="46" t="s">
        <v>2</v>
      </c>
      <c r="F39" s="47">
        <v>1</v>
      </c>
      <c r="G39" s="48"/>
      <c r="H39" s="49" t="s">
        <v>57</v>
      </c>
      <c r="I39" s="50">
        <v>1</v>
      </c>
      <c r="J39" s="50">
        <v>2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>
        <v>5</v>
      </c>
      <c r="E40" s="46" t="s">
        <v>2</v>
      </c>
      <c r="F40" s="47">
        <v>2</v>
      </c>
      <c r="G40" s="48"/>
      <c r="H40" s="49" t="s">
        <v>50</v>
      </c>
      <c r="I40" s="50">
        <v>4</v>
      </c>
      <c r="J40" s="50">
        <v>2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>
        <v>6</v>
      </c>
      <c r="E41" s="46" t="s">
        <v>4</v>
      </c>
      <c r="F41" s="47">
        <v>11</v>
      </c>
      <c r="G41" s="48"/>
      <c r="H41" s="49" t="s">
        <v>67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>
        <v>0</v>
      </c>
      <c r="E42" s="46" t="s">
        <v>25</v>
      </c>
      <c r="F42" s="47">
        <v>9</v>
      </c>
      <c r="G42" s="48"/>
      <c r="H42" s="49" t="s">
        <v>52</v>
      </c>
      <c r="I42" s="50">
        <v>2</v>
      </c>
      <c r="J42" s="50">
        <v>3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>
        <v>6</v>
      </c>
      <c r="E43" s="46" t="s">
        <v>2</v>
      </c>
      <c r="F43" s="47">
        <v>1</v>
      </c>
      <c r="G43" s="48"/>
      <c r="H43" s="49" t="s">
        <v>55</v>
      </c>
      <c r="I43" s="50">
        <v>3</v>
      </c>
      <c r="J43" s="50">
        <v>2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25</v>
      </c>
      <c r="D44" s="47">
        <v>8</v>
      </c>
      <c r="E44" s="46" t="s">
        <v>4</v>
      </c>
      <c r="F44" s="47">
        <v>7</v>
      </c>
      <c r="G44" s="48" t="s">
        <v>56</v>
      </c>
      <c r="H44" s="49" t="s">
        <v>68</v>
      </c>
      <c r="I44" s="50">
        <v>3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48</v>
      </c>
      <c r="D46" s="47"/>
      <c r="E46" s="46" t="s">
        <v>2</v>
      </c>
      <c r="F46" s="47"/>
      <c r="G46" s="48"/>
      <c r="H46" s="49"/>
      <c r="I46" s="50"/>
      <c r="J46" s="50"/>
      <c r="P46" s="54">
        <f>D46-F46</f>
        <v>0</v>
      </c>
      <c r="Q46" s="60">
        <f>ABS(P46)</f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>D47-F47</f>
        <v>0</v>
      </c>
      <c r="Q47" s="60">
        <f>ABS(P47)</f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333</v>
      </c>
    </row>
    <row r="104" spans="1:10" x14ac:dyDescent="0.3">
      <c r="D104" s="1">
        <f>SUM(D3:D102)</f>
        <v>133</v>
      </c>
      <c r="F104" s="1">
        <f>SUM(F3:F102)</f>
        <v>200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2023-01-20T22:11:03Z</dcterms:modified>
</cp:coreProperties>
</file>