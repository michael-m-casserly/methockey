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257" documentId="8_{970098D5-2AA6-4EE8-9507-3C4E4A614472}" xr6:coauthVersionLast="47" xr6:coauthVersionMax="47" xr10:uidLastSave="{9FF5C5F9-FB01-4ED6-BE8D-0EAADABE4B54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6" i="1"/>
  <c r="Q46" i="1" s="1"/>
  <c r="P45" i="1"/>
  <c r="Q45" i="1" s="1"/>
  <c r="P43" i="1"/>
  <c r="Q43" i="1" s="1"/>
  <c r="P44" i="1"/>
  <c r="Q44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7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7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<sst xmlns="http://schemas.openxmlformats.org/spreadsheetml/2006/main" count="216" uniqueCount="67">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</sst>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4" sqref="U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10</v>
      </c>
      <c r="E4" s="28">
        <v>8</v>
      </c>
      <c r="F4" s="28">
        <v>2</v>
      </c>
      <c r="G4" s="28">
        <v>0</v>
      </c>
      <c r="H4" s="74">
        <v>16</v>
      </c>
      <c r="I4" s="28">
        <v>63</v>
      </c>
      <c r="J4" s="75">
        <v>15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25</v>
      </c>
      <c r="D5" s="28">
        <v>9</v>
      </c>
      <c r="E5" s="28">
        <v>7</v>
      </c>
      <c r="F5" s="28">
        <v>2</v>
      </c>
      <c r="G5" s="28">
        <v>0</v>
      </c>
      <c r="H5" s="74">
        <v>14</v>
      </c>
      <c r="I5" s="28">
        <v>58</v>
      </c>
      <c r="J5" s="75">
        <v>28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11</v>
      </c>
      <c r="E6" s="28">
        <v>6</v>
      </c>
      <c r="F6" s="28">
        <v>4</v>
      </c>
      <c r="G6" s="28">
        <v>1</v>
      </c>
      <c r="H6" s="74">
        <v>13</v>
      </c>
      <c r="I6" s="28">
        <v>36</v>
      </c>
      <c r="J6" s="75">
        <v>43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2</v>
      </c>
      <c r="D8" s="28">
        <v>3</v>
      </c>
      <c r="E8" s="28">
        <v>2</v>
      </c>
      <c r="F8" s="28">
        <v>1</v>
      </c>
      <c r="G8" s="28">
        <v>0</v>
      </c>
      <c r="H8" s="74">
        <v>4</v>
      </c>
      <c r="I8" s="28">
        <v>15</v>
      </c>
      <c r="J8" s="75">
        <v>8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</v>
      </c>
      <c r="D9" s="28">
        <v>9</v>
      </c>
      <c r="E9" s="28">
        <v>2</v>
      </c>
      <c r="F9" s="28">
        <v>7</v>
      </c>
      <c r="G9" s="28">
        <v>0</v>
      </c>
      <c r="H9" s="74">
        <v>4</v>
      </c>
      <c r="I9" s="28">
        <v>21</v>
      </c>
      <c r="J9" s="75">
        <v>61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8</v>
      </c>
      <c r="E10" s="28">
        <v>0</v>
      </c>
      <c r="F10" s="28">
        <v>8</v>
      </c>
      <c r="G10" s="28">
        <v>0</v>
      </c>
      <c r="H10" s="74">
        <v>0</v>
      </c>
      <c r="I10" s="28">
        <v>7</v>
      </c>
      <c r="J10" s="75">
        <v>22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32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44898.688391203701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238</v>
      </c>
      <c r="J15" s="7">
        <f>SUM(J4:J12)</f>
        <v>238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13" zoomScaleNormal="100" workbookViewId="0">
      <selection activeCell="A33" sqref="A33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31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10</v>
      </c>
      <c r="U3" s="56">
        <f>IF($T$2&gt;0, T3/$T$2, 0)</f>
        <v>0.32258064516129031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3</v>
      </c>
      <c r="U4" s="56">
        <f>IF($T$2&gt;0, T4/$T$2, 0)</f>
        <v>9.6774193548387094E-2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0.19354838709677419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6.4516129032258063E-2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10</v>
      </c>
      <c r="U7" s="59">
        <f>IF($T$2&gt;0, T7/$T$2, 0)</f>
        <v>0.32258064516129031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0.99999999999999978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7" si="4">D19-F19</f>
        <v>1</v>
      </c>
      <c r="Q19" s="60">
        <f t="shared" ref="Q19:Q47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/>
      <c r="E34" s="46" t="s">
        <v>2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/>
      <c r="E35" s="46" t="s">
        <v>40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/>
      <c r="E36" s="46" t="s">
        <v>4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/>
      <c r="E38" s="46" t="s">
        <v>40</v>
      </c>
      <c r="F38" s="47"/>
      <c r="G38" s="48"/>
      <c r="H38" s="49"/>
      <c r="I38" s="50"/>
      <c r="J38" s="50"/>
      <c r="P38" s="54">
        <f t="shared" si="4"/>
        <v>0</v>
      </c>
      <c r="Q38" s="60">
        <f t="shared" si="5"/>
        <v>0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/>
      <c r="E39" s="46" t="s">
        <v>2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/>
      <c r="E41" s="46" t="s">
        <v>4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/>
      <c r="E42" s="46" t="s">
        <v>25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/>
      <c r="E43" s="46" t="s">
        <v>2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44946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44</v>
      </c>
      <c r="B45" s="45">
        <v>44947</v>
      </c>
      <c r="C45" s="46" t="s">
        <v>48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45</v>
      </c>
      <c r="B46" s="45">
        <v>44947</v>
      </c>
      <c r="C46" s="46" t="s">
        <v>40</v>
      </c>
      <c r="D46" s="47"/>
      <c r="E46" s="46" t="s">
        <v>4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19</v>
      </c>
      <c r="B47" s="45">
        <v>44948</v>
      </c>
      <c r="C47" s="46" t="s">
        <v>25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238</v>
      </c>
    </row>
    <row r="104" spans="1:10" x14ac:dyDescent="0.3">
      <c r="D104" s="1">
        <f>SUM(D3:D102)</f>
        <v>91</v>
      </c>
      <c r="F104" s="1">
        <f>SUM(F3:F102)</f>
        <v>147</v>
      </c>
    </row>
  </sheetData>
  <sortState xmlns:xlrd2="http://schemas.microsoft.com/office/spreadsheetml/2017/richdata2" ref="A19:U47">
    <sortCondition ref="B19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2022-12-03T21:31:44Z</dcterms:modified>
</cp:coreProperties>
</file>