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374" documentId="8_{970098D5-2AA6-4EE8-9507-3C4E4A614472}" xr6:coauthVersionLast="47" xr6:coauthVersionMax="47" xr10:uidLastSave="{F3519A81-DC7E-469C-9574-638578A703FF}"/>
  <bookViews>
    <workbookView xWindow="-108" yWindow="-108" windowWidth="23256" windowHeight="1245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1" l="1"/>
  <c r="N25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<sst xmlns="http://schemas.openxmlformats.org/spreadsheetml/2006/main" count="181" uniqueCount="50">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</sst>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F20" sqref="F2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</v>
      </c>
      <c r="D4" s="28">
        <v>0</v>
      </c>
      <c r="E4" s="28">
        <v>0</v>
      </c>
      <c r="F4" s="28">
        <v>0</v>
      </c>
      <c r="G4" s="28">
        <v>0</v>
      </c>
      <c r="H4" s="74">
        <v>0</v>
      </c>
      <c r="I4" s="28">
        <v>0</v>
      </c>
      <c r="J4" s="75">
        <v>0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2</v>
      </c>
      <c r="D5" s="28">
        <v>0</v>
      </c>
      <c r="E5" s="28">
        <v>0</v>
      </c>
      <c r="F5" s="28">
        <v>0</v>
      </c>
      <c r="G5" s="28">
        <v>0</v>
      </c>
      <c r="H5" s="74">
        <v>0</v>
      </c>
      <c r="I5" s="28">
        <v>0</v>
      </c>
      <c r="J5" s="75">
        <v>0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25</v>
      </c>
      <c r="D6" s="28">
        <v>0</v>
      </c>
      <c r="E6" s="28">
        <v>0</v>
      </c>
      <c r="F6" s="28">
        <v>0</v>
      </c>
      <c r="G6" s="28">
        <v>0</v>
      </c>
      <c r="H6" s="74">
        <v>0</v>
      </c>
      <c r="I6" s="28">
        <v>0</v>
      </c>
      <c r="J6" s="75">
        <v>0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40</v>
      </c>
      <c r="D7" s="28">
        <v>0</v>
      </c>
      <c r="E7" s="28">
        <v>0</v>
      </c>
      <c r="F7" s="28">
        <v>0</v>
      </c>
      <c r="G7" s="28">
        <v>0</v>
      </c>
      <c r="H7" s="74">
        <v>0</v>
      </c>
      <c r="I7" s="28">
        <v>0</v>
      </c>
      <c r="J7" s="75">
        <v>0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47</v>
      </c>
      <c r="D8" s="28">
        <v>0</v>
      </c>
      <c r="E8" s="28">
        <v>0</v>
      </c>
      <c r="F8" s="28">
        <v>0</v>
      </c>
      <c r="G8" s="28">
        <v>0</v>
      </c>
      <c r="H8" s="74">
        <v>0</v>
      </c>
      <c r="I8" s="28">
        <v>0</v>
      </c>
      <c r="J8" s="75">
        <v>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3</v>
      </c>
      <c r="D9" s="28">
        <v>0</v>
      </c>
      <c r="E9" s="28">
        <v>0</v>
      </c>
      <c r="F9" s="28">
        <v>0</v>
      </c>
      <c r="G9" s="28">
        <v>0</v>
      </c>
      <c r="H9" s="74">
        <v>0</v>
      </c>
      <c r="I9" s="28">
        <v>0</v>
      </c>
      <c r="J9" s="75">
        <v>0</v>
      </c>
      <c r="K9" s="81"/>
    </row>
    <row r="10" spans="1:16" ht="18" customHeight="1" x14ac:dyDescent="0.3">
      <c r="A10" s="81"/>
      <c r="B10" s="69">
        <v>7</v>
      </c>
      <c r="C10" s="73" t="s">
        <v>49</v>
      </c>
      <c r="D10" s="28">
        <v>0</v>
      </c>
      <c r="E10" s="28">
        <v>0</v>
      </c>
      <c r="F10" s="28">
        <v>0</v>
      </c>
      <c r="G10" s="28">
        <v>0</v>
      </c>
      <c r="H10" s="74">
        <v>0</v>
      </c>
      <c r="I10" s="28">
        <v>0</v>
      </c>
      <c r="J10" s="75">
        <v>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/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44825.778877314813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abSelected="1" topLeftCell="A46" zoomScaleNormal="100" workbookViewId="0">
      <selection activeCell="H53" sqref="H53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0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/>
      <c r="E3" s="46" t="s">
        <v>40</v>
      </c>
      <c r="F3" s="47"/>
      <c r="G3" s="48"/>
      <c r="H3" s="49"/>
      <c r="I3" s="50"/>
      <c r="J3" s="50"/>
      <c r="M3" s="52" t="s">
        <v>26</v>
      </c>
      <c r="N3" s="53">
        <v>3</v>
      </c>
      <c r="P3" s="54">
        <f>D3-F3</f>
        <v>0</v>
      </c>
      <c r="Q3" s="51">
        <f>ABS(P3)</f>
        <v>0</v>
      </c>
      <c r="R3" s="55">
        <v>1</v>
      </c>
      <c r="S3" s="51" t="s">
        <v>33</v>
      </c>
      <c r="T3" s="51">
        <f>COUNTIF($Q$3:$Q$65,R3)</f>
        <v>0</v>
      </c>
      <c r="U3" s="56">
        <f>IF($T$2&gt;0, T3/$T$2, 0)</f>
        <v>0</v>
      </c>
    </row>
    <row r="4" spans="1:21" s="51" customFormat="1" ht="15.6" thickTop="1" thickBot="1" x14ac:dyDescent="0.35">
      <c r="A4" s="44">
        <v>2</v>
      </c>
      <c r="B4" s="45">
        <v>44835</v>
      </c>
      <c r="C4" s="46" t="s">
        <v>4</v>
      </c>
      <c r="D4" s="47"/>
      <c r="E4" s="46" t="s">
        <v>3</v>
      </c>
      <c r="F4" s="47"/>
      <c r="G4" s="48"/>
      <c r="H4" s="49"/>
      <c r="I4" s="50"/>
      <c r="J4" s="50"/>
      <c r="M4" s="53" t="s">
        <v>39</v>
      </c>
      <c r="N4" s="53">
        <v>4</v>
      </c>
      <c r="P4" s="54">
        <f t="shared" ref="P4:P14" si="0">D4-F4</f>
        <v>0</v>
      </c>
      <c r="Q4" s="51">
        <f t="shared" ref="Q4:Q14" si="1">ABS(P4)</f>
        <v>0</v>
      </c>
      <c r="R4" s="55">
        <v>2</v>
      </c>
      <c r="S4" s="51" t="s">
        <v>33</v>
      </c>
      <c r="T4" s="51">
        <f>COUNTIF($Q$3:$Q$65,R4)</f>
        <v>0</v>
      </c>
      <c r="U4" s="56">
        <f>IF($T$2&gt;0, T4/$T$2, 0)</f>
        <v>0</v>
      </c>
    </row>
    <row r="5" spans="1:21" s="51" customFormat="1" ht="15.6" thickTop="1" thickBot="1" x14ac:dyDescent="0.35">
      <c r="A5" s="44">
        <v>3</v>
      </c>
      <c r="B5" s="45">
        <v>44835</v>
      </c>
      <c r="C5" s="46" t="s">
        <v>40</v>
      </c>
      <c r="D5" s="47"/>
      <c r="E5" s="46" t="s">
        <v>49</v>
      </c>
      <c r="F5" s="47"/>
      <c r="G5" s="48"/>
      <c r="H5" s="49"/>
      <c r="I5" s="50"/>
      <c r="J5" s="50"/>
      <c r="M5" s="53" t="s">
        <v>47</v>
      </c>
      <c r="N5" s="53">
        <v>5</v>
      </c>
      <c r="P5" s="54">
        <f t="shared" si="0"/>
        <v>0</v>
      </c>
      <c r="Q5" s="51">
        <f t="shared" si="1"/>
        <v>0</v>
      </c>
      <c r="R5" s="55">
        <v>3</v>
      </c>
      <c r="S5" s="51" t="s">
        <v>33</v>
      </c>
      <c r="T5" s="51">
        <f>COUNTIF($Q$3:$Q$65,R5)</f>
        <v>0</v>
      </c>
      <c r="U5" s="56">
        <f>IF($T$2&gt;0, T5/$T$2, 0)</f>
        <v>0</v>
      </c>
    </row>
    <row r="6" spans="1:21" s="51" customFormat="1" ht="15.6" thickTop="1" thickBot="1" x14ac:dyDescent="0.35">
      <c r="A6" s="44">
        <v>4</v>
      </c>
      <c r="B6" s="45">
        <v>44841</v>
      </c>
      <c r="C6" s="46" t="s">
        <v>40</v>
      </c>
      <c r="D6" s="47"/>
      <c r="E6" s="46" t="s">
        <v>47</v>
      </c>
      <c r="F6" s="47"/>
      <c r="G6" s="48"/>
      <c r="H6" s="49"/>
      <c r="I6" s="50"/>
      <c r="J6" s="50"/>
      <c r="M6" s="53" t="s">
        <v>22</v>
      </c>
      <c r="N6" s="53">
        <v>6</v>
      </c>
      <c r="P6" s="54">
        <f t="shared" si="0"/>
        <v>0</v>
      </c>
      <c r="Q6" s="51">
        <f t="shared" si="1"/>
        <v>0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5</v>
      </c>
      <c r="B7" s="45">
        <v>44841</v>
      </c>
      <c r="C7" s="46" t="s">
        <v>3</v>
      </c>
      <c r="D7" s="47"/>
      <c r="E7" s="46" t="s">
        <v>49</v>
      </c>
      <c r="F7" s="47"/>
      <c r="G7" s="48"/>
      <c r="H7" s="49"/>
      <c r="I7" s="50"/>
      <c r="J7" s="50"/>
      <c r="M7" s="53" t="s">
        <v>48</v>
      </c>
      <c r="N7" s="53">
        <v>7</v>
      </c>
      <c r="P7" s="54">
        <f t="shared" si="0"/>
        <v>0</v>
      </c>
      <c r="Q7" s="51">
        <f t="shared" si="1"/>
        <v>0</v>
      </c>
      <c r="R7" s="57" t="s">
        <v>32</v>
      </c>
      <c r="S7" s="58" t="s">
        <v>33</v>
      </c>
      <c r="T7" s="58">
        <f>COUNTIF($Q$3:$Q$65,"&gt;=5")</f>
        <v>0</v>
      </c>
      <c r="U7" s="59">
        <f>IF($T$2&gt;0, T7/$T$2, 0)</f>
        <v>0</v>
      </c>
    </row>
    <row r="8" spans="1:21" s="51" customFormat="1" ht="15.6" thickTop="1" thickBot="1" x14ac:dyDescent="0.35">
      <c r="A8" s="44">
        <v>6</v>
      </c>
      <c r="B8" s="45">
        <v>44842</v>
      </c>
      <c r="C8" s="46" t="s">
        <v>47</v>
      </c>
      <c r="D8" s="47"/>
      <c r="E8" s="46" t="s">
        <v>25</v>
      </c>
      <c r="F8" s="47"/>
      <c r="G8" s="48"/>
      <c r="H8" s="49"/>
      <c r="I8" s="50"/>
      <c r="J8" s="50"/>
      <c r="M8" s="53"/>
      <c r="N8" s="53"/>
      <c r="P8" s="54">
        <f t="shared" si="0"/>
        <v>0</v>
      </c>
      <c r="Q8" s="60">
        <f t="shared" si="1"/>
        <v>0</v>
      </c>
      <c r="U8" s="61">
        <f>SUM(U3:U7)</f>
        <v>0</v>
      </c>
    </row>
    <row r="9" spans="1:21" s="51" customFormat="1" ht="15.6" thickTop="1" thickBot="1" x14ac:dyDescent="0.35">
      <c r="A9" s="44">
        <v>7</v>
      </c>
      <c r="B9" s="45">
        <v>44843</v>
      </c>
      <c r="C9" s="46" t="s">
        <v>25</v>
      </c>
      <c r="D9" s="47"/>
      <c r="E9" s="46" t="s">
        <v>3</v>
      </c>
      <c r="F9" s="47"/>
      <c r="G9" s="48"/>
      <c r="H9" s="49"/>
      <c r="I9" s="50"/>
      <c r="J9" s="50"/>
      <c r="M9" s="53"/>
      <c r="N9" s="53"/>
      <c r="P9" s="54">
        <f t="shared" si="0"/>
        <v>0</v>
      </c>
      <c r="Q9" s="60">
        <f t="shared" si="1"/>
        <v>0</v>
      </c>
      <c r="U9" s="61"/>
    </row>
    <row r="10" spans="1:21" s="51" customFormat="1" ht="15.6" thickTop="1" thickBot="1" x14ac:dyDescent="0.35">
      <c r="A10" s="44">
        <v>8</v>
      </c>
      <c r="B10" s="45">
        <v>44848</v>
      </c>
      <c r="C10" s="46" t="s">
        <v>49</v>
      </c>
      <c r="D10" s="47"/>
      <c r="E10" s="46" t="s">
        <v>47</v>
      </c>
      <c r="F10" s="47"/>
      <c r="G10" s="48"/>
      <c r="H10" s="49"/>
      <c r="I10" s="50"/>
      <c r="J10" s="50"/>
      <c r="M10" s="53"/>
      <c r="N10" s="53"/>
      <c r="P10" s="54">
        <f t="shared" si="0"/>
        <v>0</v>
      </c>
      <c r="Q10" s="60">
        <f t="shared" si="1"/>
        <v>0</v>
      </c>
      <c r="U10" s="61"/>
    </row>
    <row r="11" spans="1:21" s="51" customFormat="1" ht="15.6" thickTop="1" thickBot="1" x14ac:dyDescent="0.35">
      <c r="A11" s="44">
        <v>9</v>
      </c>
      <c r="B11" s="45">
        <v>44848</v>
      </c>
      <c r="C11" s="46" t="s">
        <v>4</v>
      </c>
      <c r="D11" s="47"/>
      <c r="E11" s="46" t="s">
        <v>25</v>
      </c>
      <c r="F11" s="47"/>
      <c r="G11" s="48"/>
      <c r="H11" s="49"/>
      <c r="I11" s="50"/>
      <c r="J11" s="50"/>
      <c r="N11" s="53">
        <v>7</v>
      </c>
      <c r="P11" s="54">
        <f t="shared" si="0"/>
        <v>0</v>
      </c>
      <c r="Q11" s="60">
        <f t="shared" si="1"/>
        <v>0</v>
      </c>
      <c r="U11" s="62"/>
    </row>
    <row r="12" spans="1:21" s="51" customFormat="1" ht="15" thickTop="1" x14ac:dyDescent="0.3">
      <c r="A12" s="44">
        <v>10</v>
      </c>
      <c r="B12" s="45">
        <v>44849</v>
      </c>
      <c r="C12" s="46" t="s">
        <v>25</v>
      </c>
      <c r="D12" s="47"/>
      <c r="E12" s="46" t="s">
        <v>40</v>
      </c>
      <c r="F12" s="47"/>
      <c r="G12" s="48"/>
      <c r="H12" s="49"/>
      <c r="I12" s="50"/>
      <c r="J12" s="50"/>
      <c r="P12" s="54">
        <f t="shared" si="0"/>
        <v>0</v>
      </c>
      <c r="Q12" s="60">
        <f t="shared" si="1"/>
        <v>0</v>
      </c>
    </row>
    <row r="13" spans="1:21" s="51" customFormat="1" x14ac:dyDescent="0.3">
      <c r="A13" s="44">
        <v>11</v>
      </c>
      <c r="B13" s="45">
        <v>44849</v>
      </c>
      <c r="C13" s="46" t="s">
        <v>3</v>
      </c>
      <c r="D13" s="47"/>
      <c r="E13" s="46" t="s">
        <v>4</v>
      </c>
      <c r="F13" s="47"/>
      <c r="G13" s="48"/>
      <c r="H13" s="49"/>
      <c r="I13" s="50"/>
      <c r="J13" s="50"/>
      <c r="P13" s="54">
        <f t="shared" si="0"/>
        <v>0</v>
      </c>
      <c r="Q13" s="60">
        <f t="shared" si="1"/>
        <v>0</v>
      </c>
    </row>
    <row r="14" spans="1:21" s="51" customFormat="1" x14ac:dyDescent="0.3">
      <c r="A14" s="44">
        <v>12</v>
      </c>
      <c r="B14" s="45">
        <v>44855</v>
      </c>
      <c r="C14" s="46" t="s">
        <v>4</v>
      </c>
      <c r="D14" s="47"/>
      <c r="E14" s="46" t="s">
        <v>40</v>
      </c>
      <c r="F14" s="47"/>
      <c r="G14" s="48"/>
      <c r="H14" s="49"/>
      <c r="I14" s="50"/>
      <c r="J14" s="50"/>
      <c r="P14" s="54">
        <f t="shared" si="0"/>
        <v>0</v>
      </c>
      <c r="Q14" s="60">
        <f t="shared" si="1"/>
        <v>0</v>
      </c>
    </row>
    <row r="15" spans="1:21" s="51" customFormat="1" x14ac:dyDescent="0.3">
      <c r="A15" s="44">
        <v>13</v>
      </c>
      <c r="B15" s="45">
        <v>44855</v>
      </c>
      <c r="C15" s="46" t="s">
        <v>3</v>
      </c>
      <c r="D15" s="47"/>
      <c r="E15" s="46" t="s">
        <v>47</v>
      </c>
      <c r="F15" s="47"/>
      <c r="G15" s="48"/>
      <c r="H15" s="49"/>
      <c r="I15" s="50"/>
      <c r="J15" s="50"/>
      <c r="P15" s="54">
        <f t="shared" ref="P15:P37" si="2">D15-F15</f>
        <v>0</v>
      </c>
      <c r="Q15" s="60">
        <f t="shared" ref="Q15:Q37" si="3">ABS(P15)</f>
        <v>0</v>
      </c>
    </row>
    <row r="16" spans="1:21" s="51" customFormat="1" x14ac:dyDescent="0.3">
      <c r="A16" s="44">
        <v>14</v>
      </c>
      <c r="B16" s="45">
        <v>44856</v>
      </c>
      <c r="C16" s="46" t="s">
        <v>49</v>
      </c>
      <c r="D16" s="47"/>
      <c r="E16" s="46" t="s">
        <v>25</v>
      </c>
      <c r="F16" s="47"/>
      <c r="G16" s="48"/>
      <c r="H16" s="49"/>
      <c r="I16" s="50"/>
      <c r="J16" s="50"/>
      <c r="P16" s="54">
        <f t="shared" si="2"/>
        <v>0</v>
      </c>
      <c r="Q16" s="60">
        <f t="shared" si="3"/>
        <v>0</v>
      </c>
    </row>
    <row r="17" spans="1:17" s="51" customFormat="1" x14ac:dyDescent="0.3">
      <c r="A17" s="44">
        <v>15</v>
      </c>
      <c r="B17" s="45">
        <v>44856</v>
      </c>
      <c r="C17" s="46" t="s">
        <v>47</v>
      </c>
      <c r="D17" s="47"/>
      <c r="E17" s="46" t="s">
        <v>4</v>
      </c>
      <c r="F17" s="47"/>
      <c r="G17" s="48"/>
      <c r="H17" s="49"/>
      <c r="I17" s="50"/>
      <c r="J17" s="50"/>
      <c r="P17" s="54">
        <f t="shared" si="2"/>
        <v>0</v>
      </c>
      <c r="Q17" s="60">
        <f t="shared" si="3"/>
        <v>0</v>
      </c>
    </row>
    <row r="18" spans="1:17" s="51" customFormat="1" x14ac:dyDescent="0.3">
      <c r="A18" s="44">
        <v>16</v>
      </c>
      <c r="B18" s="45">
        <v>44862</v>
      </c>
      <c r="C18" s="46" t="s">
        <v>4</v>
      </c>
      <c r="D18" s="47"/>
      <c r="E18" s="46" t="s">
        <v>47</v>
      </c>
      <c r="F18" s="47"/>
      <c r="G18" s="48"/>
      <c r="H18" s="49"/>
      <c r="I18" s="50"/>
      <c r="J18" s="50"/>
      <c r="P18" s="54">
        <f t="shared" si="2"/>
        <v>0</v>
      </c>
      <c r="Q18" s="60">
        <f t="shared" si="3"/>
        <v>0</v>
      </c>
    </row>
    <row r="19" spans="1:17" s="51" customFormat="1" x14ac:dyDescent="0.3">
      <c r="A19" s="44">
        <v>17</v>
      </c>
      <c r="B19" s="45">
        <v>44862</v>
      </c>
      <c r="C19" s="46" t="s">
        <v>40</v>
      </c>
      <c r="D19" s="47"/>
      <c r="E19" s="46" t="s">
        <v>3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18</v>
      </c>
      <c r="B20" s="45">
        <v>44863</v>
      </c>
      <c r="C20" s="46" t="s">
        <v>49</v>
      </c>
      <c r="D20" s="47"/>
      <c r="E20" s="46" t="s">
        <v>3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19</v>
      </c>
      <c r="B21" s="45">
        <v>44863</v>
      </c>
      <c r="C21" s="46" t="s">
        <v>25</v>
      </c>
      <c r="D21" s="47"/>
      <c r="E21" s="46" t="s">
        <v>4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20</v>
      </c>
      <c r="B22" s="45">
        <v>44869</v>
      </c>
      <c r="C22" s="46" t="s">
        <v>4</v>
      </c>
      <c r="D22" s="47"/>
      <c r="E22" s="46" t="s">
        <v>49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21</v>
      </c>
      <c r="B23" s="45">
        <v>44869</v>
      </c>
      <c r="C23" s="46" t="s">
        <v>25</v>
      </c>
      <c r="D23" s="47"/>
      <c r="E23" s="46" t="s">
        <v>47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22</v>
      </c>
      <c r="B24" s="45">
        <v>44870</v>
      </c>
      <c r="C24" s="46" t="s">
        <v>4</v>
      </c>
      <c r="D24" s="47"/>
      <c r="E24" s="46" t="s">
        <v>3</v>
      </c>
      <c r="F24" s="47"/>
      <c r="G24" s="48"/>
      <c r="H24" s="49"/>
      <c r="I24" s="50"/>
      <c r="J24" s="50"/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23</v>
      </c>
      <c r="B25" s="45">
        <v>44876</v>
      </c>
      <c r="C25" s="46" t="s">
        <v>40</v>
      </c>
      <c r="D25" s="47"/>
      <c r="E25" s="46" t="s">
        <v>47</v>
      </c>
      <c r="F25" s="47"/>
      <c r="G25" s="48"/>
      <c r="H25" s="49"/>
      <c r="I25" s="50"/>
      <c r="J25" s="50"/>
      <c r="N25" s="51">
        <f>LOOKUP(C26,M1:M7,N1:N7)</f>
        <v>6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24</v>
      </c>
      <c r="B26" s="45">
        <v>44876</v>
      </c>
      <c r="C26" s="46" t="s">
        <v>3</v>
      </c>
      <c r="D26" s="47"/>
      <c r="E26" s="46" t="s">
        <v>25</v>
      </c>
      <c r="F26" s="47"/>
      <c r="G26" s="48"/>
      <c r="H26" s="49"/>
      <c r="I26" s="50"/>
      <c r="J26" s="50"/>
      <c r="O26" s="51">
        <f>LOOKUP(E26,M1:M7,N1:N7)</f>
        <v>3</v>
      </c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25</v>
      </c>
      <c r="B27" s="45">
        <v>44877</v>
      </c>
      <c r="C27" s="46" t="s">
        <v>47</v>
      </c>
      <c r="D27" s="47"/>
      <c r="E27" s="46" t="s">
        <v>49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26</v>
      </c>
      <c r="B28" s="45">
        <v>44883</v>
      </c>
      <c r="C28" s="46" t="s">
        <v>4</v>
      </c>
      <c r="D28" s="47"/>
      <c r="E28" s="46" t="s">
        <v>40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27</v>
      </c>
      <c r="B29" s="45">
        <v>44883</v>
      </c>
      <c r="C29" s="46" t="s">
        <v>2</v>
      </c>
      <c r="D29" s="47"/>
      <c r="E29" s="46" t="s">
        <v>47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28</v>
      </c>
      <c r="B30" s="45">
        <v>44884</v>
      </c>
      <c r="C30" s="46" t="s">
        <v>2</v>
      </c>
      <c r="D30" s="47"/>
      <c r="E30" s="46" t="s">
        <v>49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29</v>
      </c>
      <c r="B31" s="45">
        <v>44884</v>
      </c>
      <c r="C31" s="46" t="s">
        <v>3</v>
      </c>
      <c r="D31" s="47"/>
      <c r="E31" s="46" t="s">
        <v>40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30</v>
      </c>
      <c r="B32" s="45">
        <v>44884</v>
      </c>
      <c r="C32" s="46" t="s">
        <v>47</v>
      </c>
      <c r="D32" s="47"/>
      <c r="E32" s="46" t="s">
        <v>25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si="2"/>
        <v>0</v>
      </c>
      <c r="Q33" s="60">
        <f t="shared" si="3"/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2"/>
        <v>0</v>
      </c>
      <c r="Q34" s="60">
        <f t="shared" si="3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2"/>
        <v>0</v>
      </c>
      <c r="Q35" s="60">
        <f t="shared" si="3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2"/>
        <v>0</v>
      </c>
      <c r="Q36" s="60">
        <f t="shared" si="3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2"/>
        <v>0</v>
      </c>
      <c r="Q37" s="60">
        <f t="shared" si="3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4">D38-F38</f>
        <v>0</v>
      </c>
      <c r="Q38" s="60">
        <f t="shared" ref="Q38:Q48" si="5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41</v>
      </c>
      <c r="B43" s="45">
        <v>44932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 t="shared" si="4"/>
        <v>0</v>
      </c>
      <c r="Q43" s="60">
        <f t="shared" si="5"/>
        <v>0</v>
      </c>
    </row>
    <row r="44" spans="1:17" s="51" customFormat="1" x14ac:dyDescent="0.3">
      <c r="A44" s="44">
        <v>42</v>
      </c>
      <c r="B44" s="45">
        <v>44933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 t="shared" si="4"/>
        <v>0</v>
      </c>
      <c r="Q44" s="60">
        <f t="shared" si="5"/>
        <v>0</v>
      </c>
    </row>
    <row r="45" spans="1:17" s="51" customFormat="1" x14ac:dyDescent="0.3">
      <c r="A45" s="44">
        <v>43</v>
      </c>
      <c r="B45" s="45">
        <v>44940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 t="shared" si="4"/>
        <v>0</v>
      </c>
      <c r="Q45" s="60">
        <f t="shared" si="5"/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4"/>
        <v>0</v>
      </c>
      <c r="Q48" s="60">
        <f t="shared" si="5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4"/>
        <v>0</v>
      </c>
      <c r="Q49" s="60">
        <f t="shared" ref="Q49:Q52" si="6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4"/>
        <v>0</v>
      </c>
      <c r="Q50" s="60">
        <f t="shared" si="6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4"/>
        <v>0</v>
      </c>
      <c r="Q51" s="60">
        <f t="shared" si="6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4"/>
        <v>0</v>
      </c>
      <c r="Q52" s="60">
        <f t="shared" si="6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7">D53-F53</f>
        <v>0</v>
      </c>
      <c r="Q53" s="60">
        <f t="shared" ref="Q53:Q54" si="8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7"/>
        <v>0</v>
      </c>
      <c r="Q54" s="60">
        <f t="shared" si="8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9">D55-F55</f>
        <v>0</v>
      </c>
      <c r="Q55" s="60">
        <f t="shared" ref="Q55:Q63" si="10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9"/>
        <v>0</v>
      </c>
      <c r="Q56" s="60">
        <f t="shared" si="10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9"/>
        <v>0</v>
      </c>
      <c r="Q57" s="60">
        <f t="shared" si="10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9"/>
        <v>0</v>
      </c>
      <c r="Q59" s="60">
        <f t="shared" si="10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9"/>
        <v>0</v>
      </c>
      <c r="Q60" s="60">
        <f t="shared" si="10"/>
        <v>0</v>
      </c>
    </row>
    <row r="61" spans="1:17" s="51" customFormat="1" x14ac:dyDescent="0.3">
      <c r="A61" s="44">
        <v>58</v>
      </c>
      <c r="B61" s="45">
        <v>44967</v>
      </c>
      <c r="C61" s="46" t="s">
        <v>49</v>
      </c>
      <c r="D61" s="47"/>
      <c r="E61" s="46" t="s">
        <v>25</v>
      </c>
      <c r="F61" s="47"/>
      <c r="G61" s="48"/>
      <c r="H61" s="49"/>
      <c r="I61" s="50"/>
      <c r="J61" s="50"/>
      <c r="P61" s="54">
        <f t="shared" si="9"/>
        <v>0</v>
      </c>
      <c r="Q61" s="60">
        <f t="shared" si="10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9"/>
        <v>0</v>
      </c>
      <c r="Q62" s="60">
        <f t="shared" si="10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9"/>
        <v>0</v>
      </c>
      <c r="Q63" s="60">
        <f t="shared" si="10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1">D64-F64</f>
        <v>0</v>
      </c>
      <c r="Q64" s="60">
        <f t="shared" ref="Q64:Q65" si="12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1"/>
        <v>0</v>
      </c>
      <c r="Q65" s="60">
        <f t="shared" si="12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0</v>
      </c>
    </row>
    <row r="104" spans="1:10" x14ac:dyDescent="0.3">
      <c r="D104" s="1">
        <f>SUM(D3:D102)</f>
        <v>0</v>
      </c>
      <c r="F104" s="1">
        <f>SUM(F3:F102)</f>
        <v>0</v>
      </c>
    </row>
  </sheetData>
  <sortState xmlns:xlrd2="http://schemas.microsoft.com/office/spreadsheetml/2017/richdata2" ref="A47:G65">
    <sortCondition ref="B47:B65"/>
    <sortCondition ref="A47:A65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2022-09-29T18:54:06Z</dcterms:modified>
</cp:coreProperties>
</file>