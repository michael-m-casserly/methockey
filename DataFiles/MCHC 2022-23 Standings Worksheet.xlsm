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4253" documentId="8_{970098D5-2AA6-4EE8-9507-3C4E4A614472}" xr6:coauthVersionLast="47" xr6:coauthVersionMax="47" xr10:uidLastSave="{32299171-3A91-4057-8BFF-EF4F55F2B6C4}"/>
  <bookViews>
    <workbookView xWindow="8436" yWindow="0" windowWidth="14604" windowHeight="1224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P57" i="1"/>
  <c r="Q57" i="1" s="1"/>
  <c r="P56" i="1"/>
  <c r="Q56" i="1" s="1"/>
  <c r="P55" i="1"/>
  <c r="Q55" i="1" s="1"/>
  <c r="P64" i="1"/>
  <c r="Q64" i="1"/>
  <c r="P54" i="1"/>
  <c r="Q54" i="1" s="1"/>
  <c r="P61" i="1"/>
  <c r="Q61" i="1"/>
  <c r="P59" i="1"/>
  <c r="Q59" i="1"/>
  <c r="P53" i="1"/>
  <c r="Q53" i="1" s="1"/>
  <c r="P62" i="1"/>
  <c r="Q62" i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60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<sst xmlns="http://schemas.openxmlformats.org/spreadsheetml/2006/main" count="245" uniqueCount="72">
  <si>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</si>
  <si>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</si>
  <si>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</si>
  <si>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</si>
  <si>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</si>
  <si>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</si>
  <si>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</si>
  <si>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</si>
  <si>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</si>
  <si>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</si>
  <si>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</si>
  <si>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</si>
  <si>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</si>
  <si>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</si>
  <si>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</si>
  <si>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</si>
  <si>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</si>
  <si>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</si>
  <si>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</si>
  <si>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</si>
  <si>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</si>
  <si>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</si>
  <si>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</si>
  <si>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</si>
  <si>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</si>
  <si>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</si>
  <si>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</si>
  <si>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</si>
  <si>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</si>
  <si>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</si>
  <si>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</si>
  <si>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</si>
  <si>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</si>
  <si>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</si>
  <si>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</si>
  <si>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</si>
  <si>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</si>
  <si>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</si>
  <si>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</si>
  <si>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</si>
  <si>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</si>
  <si>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</si>
  <si>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</si>
  <si>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</si>
  <si>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</si>
  <si>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</si>
  <si>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</si>
  <si>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</si>
  <si>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</si>
  <si>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</si>
  <si>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</si>
  <si>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</si>
  <si>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</si>
  <si>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</si>
  <si>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</si>
  <si>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</si>
  <si>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</si>
  <si>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</si>
  <si>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</si>
  <si>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</si>
  <si>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</si>
  <si>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</si>
  <si>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</si>
  <si>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Columbia (Home) Wins</t>
  </si>
  <si>
    <t>Maritime in OT/SO</t>
  </si>
  <si>
    <t>Columbia in OT/SO</t>
  </si>
  <si>
    <t>**</t>
  </si>
  <si>
    <t>WestConn in OT/SO</t>
  </si>
  <si>
    <t>USMMA</t>
  </si>
  <si>
    <t>USMMA (Away) Wins</t>
  </si>
  <si>
    <t>USMMA (Home) Wins</t>
  </si>
  <si>
    <t>WestConn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</si>
</sst>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R10" sqref="R1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41</v>
      </c>
      <c r="H3" s="71" t="s">
        <v>42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18</v>
      </c>
      <c r="E4" s="28">
        <v>15</v>
      </c>
      <c r="F4" s="28">
        <v>2</v>
      </c>
      <c r="G4" s="28">
        <v>1</v>
      </c>
      <c r="H4" s="74">
        <v>31</v>
      </c>
      <c r="I4" s="28">
        <v>117</v>
      </c>
      <c r="J4" s="75">
        <v>30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16</v>
      </c>
      <c r="E5" s="28">
        <v>12</v>
      </c>
      <c r="F5" s="28">
        <v>4</v>
      </c>
      <c r="G5" s="28">
        <v>0</v>
      </c>
      <c r="H5" s="74">
        <v>24</v>
      </c>
      <c r="I5" s="28">
        <v>102</v>
      </c>
      <c r="J5" s="75">
        <v>53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16</v>
      </c>
      <c r="E6" s="28">
        <v>8</v>
      </c>
      <c r="F6" s="28">
        <v>6</v>
      </c>
      <c r="G6" s="28">
        <v>2</v>
      </c>
      <c r="H6" s="74">
        <v>18</v>
      </c>
      <c r="I6" s="28">
        <v>50</v>
      </c>
      <c r="J6" s="75">
        <v>62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3</v>
      </c>
      <c r="D7" s="28">
        <v>16</v>
      </c>
      <c r="E7" s="28">
        <v>7</v>
      </c>
      <c r="F7" s="28">
        <v>8</v>
      </c>
      <c r="G7" s="28">
        <v>1</v>
      </c>
      <c r="H7" s="74">
        <v>15</v>
      </c>
      <c r="I7" s="28">
        <v>60</v>
      </c>
      <c r="J7" s="75">
        <v>89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44</v>
      </c>
      <c r="D8" s="28">
        <v>16</v>
      </c>
      <c r="E8" s="28">
        <v>7</v>
      </c>
      <c r="F8" s="28">
        <v>9</v>
      </c>
      <c r="G8" s="28">
        <v>0</v>
      </c>
      <c r="H8" s="74">
        <v>14</v>
      </c>
      <c r="I8" s="28">
        <v>51</v>
      </c>
      <c r="J8" s="75">
        <v>84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68</v>
      </c>
      <c r="D9" s="28">
        <v>16</v>
      </c>
      <c r="E9" s="28">
        <v>6</v>
      </c>
      <c r="F9" s="28">
        <v>10</v>
      </c>
      <c r="G9" s="28">
        <v>0</v>
      </c>
      <c r="H9" s="74">
        <v>12</v>
      </c>
      <c r="I9" s="28">
        <v>44</v>
      </c>
      <c r="J9" s="75">
        <v>68</v>
      </c>
      <c r="K9" s="81"/>
    </row>
    <row r="10" spans="1:16" ht="18" customHeight="1" x14ac:dyDescent="0.3">
      <c r="A10" s="81"/>
      <c r="B10" s="69">
        <v>7</v>
      </c>
      <c r="C10" s="73" t="s">
        <v>46</v>
      </c>
      <c r="D10" s="28">
        <v>16</v>
      </c>
      <c r="E10" s="28">
        <v>2</v>
      </c>
      <c r="F10" s="28">
        <v>14</v>
      </c>
      <c r="G10" s="28">
        <v>0</v>
      </c>
      <c r="H10" s="74">
        <v>4</v>
      </c>
      <c r="I10" s="28">
        <v>33</v>
      </c>
      <c r="J10" s="75">
        <v>71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56</v>
      </c>
    </row>
    <row r="13" spans="1:16" ht="16.2" thickTop="1" x14ac:dyDescent="0.3">
      <c r="A13" s="1"/>
      <c r="B13" s="68"/>
      <c r="C13" s="84" t="s">
        <v>40</v>
      </c>
      <c r="D13" s="85"/>
      <c r="E13" s="85"/>
      <c r="F13" s="85"/>
      <c r="G13" s="82" cm="1">
        <f t="array" aca="1" ref="G13" ca="1">LastModified()</f>
        <v>44963.455312500002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62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457</v>
      </c>
      <c r="J15" s="7">
        <f>SUM(J4:J12)</f>
        <v>457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40" zoomScaleNormal="100" workbookViewId="0">
      <selection activeCell="A59" sqref="A59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57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47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16</v>
      </c>
      <c r="U3" s="56">
        <f>IF($T$2&gt;0, T3/$T$2, 0)</f>
        <v>0.2807017543859649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46</v>
      </c>
      <c r="F4" s="47">
        <v>0</v>
      </c>
      <c r="G4" s="48" t="s">
        <v>58</v>
      </c>
      <c r="H4" s="49" t="s">
        <v>59</v>
      </c>
      <c r="I4" s="50">
        <v>3</v>
      </c>
      <c r="J4" s="50">
        <v>7</v>
      </c>
      <c r="M4" s="53" t="s">
        <v>44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8</v>
      </c>
      <c r="U4" s="56">
        <f>IF($T$2&gt;0, T4/$T$2, 0)</f>
        <v>0.14035087719298245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44</v>
      </c>
      <c r="F5" s="47">
        <v>2</v>
      </c>
      <c r="G5" s="48"/>
      <c r="H5" s="49" t="s">
        <v>48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10</v>
      </c>
      <c r="U5" s="56">
        <f>IF($T$2&gt;0, T5/$T$2, 0)</f>
        <v>0.17543859649122806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46</v>
      </c>
      <c r="F6" s="47">
        <v>1</v>
      </c>
      <c r="G6" s="48"/>
      <c r="H6" s="49" t="s">
        <v>49</v>
      </c>
      <c r="I6" s="50">
        <v>5</v>
      </c>
      <c r="J6" s="50">
        <v>7</v>
      </c>
      <c r="M6" s="53" t="s">
        <v>68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4</v>
      </c>
      <c r="U6" s="56">
        <f>IF($T$2&gt;0, T6/$T$2, 0)</f>
        <v>7.0175438596491224E-2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44</v>
      </c>
      <c r="D7" s="47">
        <v>2</v>
      </c>
      <c r="E7" s="46" t="s">
        <v>23</v>
      </c>
      <c r="F7" s="47">
        <v>9</v>
      </c>
      <c r="G7" s="48"/>
      <c r="H7" s="49" t="s">
        <v>50</v>
      </c>
      <c r="I7" s="50">
        <v>4</v>
      </c>
      <c r="J7" s="50">
        <v>2</v>
      </c>
      <c r="M7" s="53" t="s">
        <v>45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19</v>
      </c>
      <c r="U7" s="59">
        <f>IF($T$2&gt;0, T7/$T$2, 0)</f>
        <v>0.33333333333333331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51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46</v>
      </c>
      <c r="D9" s="47">
        <v>1</v>
      </c>
      <c r="E9" s="46" t="s">
        <v>44</v>
      </c>
      <c r="F9" s="47">
        <v>4</v>
      </c>
      <c r="G9" s="48"/>
      <c r="H9" s="49" t="s">
        <v>52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50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53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2</v>
      </c>
      <c r="E12" s="46" t="s">
        <v>38</v>
      </c>
      <c r="F12" s="47">
        <v>1</v>
      </c>
      <c r="G12" s="48"/>
      <c r="H12" s="49" t="s">
        <v>55</v>
      </c>
      <c r="I12" s="50">
        <v>1</v>
      </c>
      <c r="J12" s="50">
        <v>3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44</v>
      </c>
      <c r="F13" s="47">
        <v>4</v>
      </c>
      <c r="G13" s="48" t="s">
        <v>54</v>
      </c>
      <c r="H13" s="49" t="s">
        <v>56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46</v>
      </c>
      <c r="D14" s="47">
        <v>1</v>
      </c>
      <c r="E14" s="46" t="s">
        <v>23</v>
      </c>
      <c r="F14" s="47">
        <v>4</v>
      </c>
      <c r="G14" s="48"/>
      <c r="H14" s="49" t="s">
        <v>50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44</v>
      </c>
      <c r="D15" s="47">
        <v>7</v>
      </c>
      <c r="E15" s="46" t="s">
        <v>3</v>
      </c>
      <c r="F15" s="47">
        <v>6</v>
      </c>
      <c r="G15" s="48"/>
      <c r="H15" s="49" t="s">
        <v>57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44</v>
      </c>
      <c r="F16" s="47">
        <v>5</v>
      </c>
      <c r="G16" s="48"/>
      <c r="H16" s="49" t="s">
        <v>52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48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46</v>
      </c>
      <c r="D18" s="47">
        <v>1</v>
      </c>
      <c r="E18" s="46" t="s">
        <v>2</v>
      </c>
      <c r="F18" s="47">
        <v>2</v>
      </c>
      <c r="G18" s="48"/>
      <c r="H18" s="49" t="s">
        <v>51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>
        <v>1</v>
      </c>
      <c r="E19" s="46" t="s">
        <v>46</v>
      </c>
      <c r="F19" s="47">
        <v>0</v>
      </c>
      <c r="G19" s="48" t="s">
        <v>58</v>
      </c>
      <c r="H19" s="49" t="s">
        <v>60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44</v>
      </c>
      <c r="F20" s="47">
        <v>4</v>
      </c>
      <c r="G20" s="48"/>
      <c r="H20" s="49" t="s">
        <v>53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51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44</v>
      </c>
      <c r="F22" s="47">
        <v>1</v>
      </c>
      <c r="G22" s="48"/>
      <c r="H22" s="49" t="s">
        <v>48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50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44</v>
      </c>
      <c r="D24" s="47">
        <v>1</v>
      </c>
      <c r="E24" s="46" t="s">
        <v>46</v>
      </c>
      <c r="F24" s="47">
        <v>0</v>
      </c>
      <c r="G24" s="48" t="s">
        <v>58</v>
      </c>
      <c r="H24" s="49" t="s">
        <v>61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51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47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68</v>
      </c>
      <c r="D27" s="47">
        <v>2</v>
      </c>
      <c r="E27" s="46" t="s">
        <v>44</v>
      </c>
      <c r="F27" s="47">
        <v>3</v>
      </c>
      <c r="G27" s="48"/>
      <c r="H27" s="49" t="s">
        <v>52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68</v>
      </c>
      <c r="D28" s="47">
        <v>7</v>
      </c>
      <c r="E28" s="46" t="s">
        <v>46</v>
      </c>
      <c r="F28" s="47">
        <v>3</v>
      </c>
      <c r="G28" s="48"/>
      <c r="H28" s="49" t="s">
        <v>69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47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44</v>
      </c>
      <c r="D30" s="47">
        <v>3</v>
      </c>
      <c r="E30" s="46" t="s">
        <v>23</v>
      </c>
      <c r="F30" s="47">
        <v>9</v>
      </c>
      <c r="G30" s="48"/>
      <c r="H30" s="49" t="s">
        <v>50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51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44</v>
      </c>
      <c r="D32" s="47">
        <v>2</v>
      </c>
      <c r="E32" s="46" t="s">
        <v>68</v>
      </c>
      <c r="F32" s="47">
        <v>6</v>
      </c>
      <c r="G32" s="48"/>
      <c r="H32" s="49" t="s">
        <v>70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48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68</v>
      </c>
      <c r="F34" s="47">
        <v>1</v>
      </c>
      <c r="G34" s="48"/>
      <c r="H34" s="49" t="s">
        <v>49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47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46</v>
      </c>
      <c r="D36" s="47">
        <v>3</v>
      </c>
      <c r="E36" s="46" t="s">
        <v>3</v>
      </c>
      <c r="F36" s="47">
        <v>4</v>
      </c>
      <c r="G36" s="48"/>
      <c r="H36" s="49" t="s">
        <v>63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68</v>
      </c>
      <c r="D37" s="47">
        <v>5</v>
      </c>
      <c r="E37" s="46" t="s">
        <v>3</v>
      </c>
      <c r="F37" s="47">
        <v>4</v>
      </c>
      <c r="G37" s="48"/>
      <c r="H37" s="49" t="s">
        <v>69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46</v>
      </c>
      <c r="D38" s="47">
        <v>0</v>
      </c>
      <c r="E38" s="46" t="s">
        <v>38</v>
      </c>
      <c r="F38" s="47">
        <v>7</v>
      </c>
      <c r="G38" s="48"/>
      <c r="H38" s="49" t="s">
        <v>47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3</v>
      </c>
      <c r="E39" s="46" t="s">
        <v>68</v>
      </c>
      <c r="F39" s="47">
        <v>1</v>
      </c>
      <c r="G39" s="48"/>
      <c r="H39" s="49" t="s">
        <v>55</v>
      </c>
      <c r="I39" s="50">
        <v>1</v>
      </c>
      <c r="J39" s="50">
        <v>6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68</v>
      </c>
      <c r="F40" s="47">
        <v>2</v>
      </c>
      <c r="G40" s="48"/>
      <c r="H40" s="49" t="s">
        <v>48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46</v>
      </c>
      <c r="D41" s="47">
        <v>6</v>
      </c>
      <c r="E41" s="46" t="s">
        <v>3</v>
      </c>
      <c r="F41" s="47">
        <v>11</v>
      </c>
      <c r="G41" s="48"/>
      <c r="H41" s="49" t="s">
        <v>63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68</v>
      </c>
      <c r="D42" s="47">
        <v>0</v>
      </c>
      <c r="E42" s="46" t="s">
        <v>23</v>
      </c>
      <c r="F42" s="47">
        <v>9</v>
      </c>
      <c r="G42" s="48"/>
      <c r="H42" s="49" t="s">
        <v>50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68</v>
      </c>
      <c r="F43" s="47">
        <v>1</v>
      </c>
      <c r="G43" s="48"/>
      <c r="H43" s="49" t="s">
        <v>53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54</v>
      </c>
      <c r="H44" s="49" t="s">
        <v>64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68</v>
      </c>
      <c r="F45" s="47">
        <v>5</v>
      </c>
      <c r="G45" s="48"/>
      <c r="H45" s="49" t="s">
        <v>70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46</v>
      </c>
      <c r="D46" s="47">
        <v>4</v>
      </c>
      <c r="E46" s="46" t="s">
        <v>68</v>
      </c>
      <c r="F46" s="47">
        <v>6</v>
      </c>
      <c r="G46" s="48"/>
      <c r="H46" s="49" t="s">
        <v>70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4</v>
      </c>
      <c r="E47" s="46" t="s">
        <v>3</v>
      </c>
      <c r="F47" s="47">
        <v>5</v>
      </c>
      <c r="G47" s="48" t="s">
        <v>54</v>
      </c>
      <c r="H47" s="49" t="s">
        <v>65</v>
      </c>
      <c r="I47" s="50">
        <v>3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68</v>
      </c>
      <c r="F48" s="47">
        <v>0</v>
      </c>
      <c r="G48" s="48"/>
      <c r="H48" s="49" t="s">
        <v>48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46</v>
      </c>
      <c r="D49" s="47">
        <v>4</v>
      </c>
      <c r="E49" s="46" t="s">
        <v>2</v>
      </c>
      <c r="F49" s="47">
        <v>3</v>
      </c>
      <c r="G49" s="48" t="s">
        <v>66</v>
      </c>
      <c r="H49" s="49" t="s">
        <v>67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46</v>
      </c>
      <c r="D50" s="47">
        <v>6</v>
      </c>
      <c r="E50" s="46" t="s">
        <v>44</v>
      </c>
      <c r="F50" s="47">
        <v>2</v>
      </c>
      <c r="G50" s="48"/>
      <c r="H50" s="49" t="s">
        <v>71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68</v>
      </c>
      <c r="D51" s="47">
        <v>3</v>
      </c>
      <c r="E51" s="46" t="s">
        <v>2</v>
      </c>
      <c r="F51" s="47">
        <v>0</v>
      </c>
      <c r="G51" s="48"/>
      <c r="H51" s="49" t="s">
        <v>69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44</v>
      </c>
      <c r="D52" s="47">
        <v>3</v>
      </c>
      <c r="E52" s="46" t="s">
        <v>38</v>
      </c>
      <c r="F52" s="47">
        <v>8</v>
      </c>
      <c r="G52" s="48"/>
      <c r="H52" s="49" t="s">
        <v>47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44</v>
      </c>
      <c r="D53" s="47">
        <v>3</v>
      </c>
      <c r="E53" s="46" t="s">
        <v>2</v>
      </c>
      <c r="F53" s="47">
        <v>6</v>
      </c>
      <c r="G53" s="48"/>
      <c r="H53" s="49" t="s">
        <v>51</v>
      </c>
      <c r="I53" s="50">
        <v>4</v>
      </c>
      <c r="J53" s="50">
        <v>5</v>
      </c>
      <c r="P53" s="54">
        <f t="shared" ref="P53:P54" si="9">D53-F53</f>
        <v>-3</v>
      </c>
      <c r="Q53" s="60">
        <f t="shared" ref="Q53:Q54" si="10">ABS(P53)</f>
        <v>3</v>
      </c>
    </row>
    <row r="54" spans="1:17" s="51" customFormat="1" x14ac:dyDescent="0.3">
      <c r="A54" s="44">
        <v>51</v>
      </c>
      <c r="B54" s="45">
        <v>44960</v>
      </c>
      <c r="C54" s="46" t="s">
        <v>68</v>
      </c>
      <c r="D54" s="47">
        <v>1</v>
      </c>
      <c r="E54" s="46" t="s">
        <v>3</v>
      </c>
      <c r="F54" s="47">
        <v>5</v>
      </c>
      <c r="G54" s="48"/>
      <c r="H54" s="49" t="s">
        <v>63</v>
      </c>
      <c r="I54" s="50">
        <v>6</v>
      </c>
      <c r="J54" s="50">
        <v>1</v>
      </c>
      <c r="P54" s="54">
        <f t="shared" si="9"/>
        <v>-4</v>
      </c>
      <c r="Q54" s="60">
        <f t="shared" si="10"/>
        <v>4</v>
      </c>
    </row>
    <row r="55" spans="1:17" s="51" customFormat="1" x14ac:dyDescent="0.3">
      <c r="A55" s="44">
        <v>52</v>
      </c>
      <c r="B55" s="45">
        <v>44960</v>
      </c>
      <c r="C55" s="46" t="s">
        <v>46</v>
      </c>
      <c r="D55" s="47">
        <v>3</v>
      </c>
      <c r="E55" s="46" t="s">
        <v>23</v>
      </c>
      <c r="F55" s="47">
        <v>6</v>
      </c>
      <c r="G55" s="48"/>
      <c r="H55" s="49" t="s">
        <v>50</v>
      </c>
      <c r="I55" s="50">
        <v>7</v>
      </c>
      <c r="J55" s="50">
        <v>2</v>
      </c>
      <c r="P55" s="54">
        <f t="shared" ref="P55:P63" si="11">D55-F55</f>
        <v>-3</v>
      </c>
      <c r="Q55" s="60">
        <f t="shared" ref="Q55:Q63" si="12">ABS(P55)</f>
        <v>3</v>
      </c>
    </row>
    <row r="56" spans="1:17" s="51" customFormat="1" x14ac:dyDescent="0.3">
      <c r="A56" s="44">
        <v>53</v>
      </c>
      <c r="B56" s="45">
        <v>44961</v>
      </c>
      <c r="C56" s="46" t="s">
        <v>68</v>
      </c>
      <c r="D56" s="47">
        <v>1</v>
      </c>
      <c r="E56" s="46" t="s">
        <v>38</v>
      </c>
      <c r="F56" s="47">
        <v>9</v>
      </c>
      <c r="G56" s="48"/>
      <c r="H56" s="49" t="s">
        <v>47</v>
      </c>
      <c r="I56" s="50">
        <v>6</v>
      </c>
      <c r="J56" s="50">
        <v>3</v>
      </c>
      <c r="P56" s="54">
        <f t="shared" si="11"/>
        <v>-8</v>
      </c>
      <c r="Q56" s="60">
        <f t="shared" si="12"/>
        <v>8</v>
      </c>
    </row>
    <row r="57" spans="1:17" s="51" customFormat="1" x14ac:dyDescent="0.3">
      <c r="A57" s="44">
        <v>54</v>
      </c>
      <c r="B57" s="45">
        <v>44962</v>
      </c>
      <c r="C57" s="46" t="s">
        <v>68</v>
      </c>
      <c r="D57" s="47">
        <v>3</v>
      </c>
      <c r="E57" s="46" t="s">
        <v>44</v>
      </c>
      <c r="F57" s="47">
        <v>5</v>
      </c>
      <c r="G57" s="48"/>
      <c r="H57" s="49" t="s">
        <v>52</v>
      </c>
      <c r="I57" s="50">
        <v>6</v>
      </c>
      <c r="J57" s="50">
        <v>4</v>
      </c>
      <c r="P57" s="54">
        <f t="shared" si="11"/>
        <v>-2</v>
      </c>
      <c r="Q57" s="60">
        <f t="shared" si="12"/>
        <v>2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>
        <v>8</v>
      </c>
      <c r="E58" s="46" t="s">
        <v>2</v>
      </c>
      <c r="F58" s="47">
        <v>3</v>
      </c>
      <c r="G58" s="48"/>
      <c r="H58" s="49" t="s">
        <v>53</v>
      </c>
      <c r="I58" s="50">
        <v>2</v>
      </c>
      <c r="J58" s="50">
        <v>5</v>
      </c>
      <c r="P58" s="54">
        <f>D58-F58</f>
        <v>5</v>
      </c>
      <c r="Q58" s="60">
        <f>ABS(P58)</f>
        <v>5</v>
      </c>
    </row>
    <row r="59" spans="1:17" s="51" customFormat="1" x14ac:dyDescent="0.3">
      <c r="A59" s="44">
        <v>56</v>
      </c>
      <c r="B59" s="45">
        <v>44962</v>
      </c>
      <c r="C59" s="46" t="s">
        <v>46</v>
      </c>
      <c r="D59" s="47">
        <v>0</v>
      </c>
      <c r="E59" s="46" t="s">
        <v>38</v>
      </c>
      <c r="F59" s="47">
        <v>10</v>
      </c>
      <c r="G59" s="48"/>
      <c r="H59" s="49" t="s">
        <v>47</v>
      </c>
      <c r="I59" s="50">
        <v>7</v>
      </c>
      <c r="J59" s="50">
        <v>3</v>
      </c>
      <c r="P59" s="54">
        <f t="shared" si="11"/>
        <v>-10</v>
      </c>
      <c r="Q59" s="60">
        <f t="shared" si="12"/>
        <v>10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/>
      <c r="E60" s="46" t="s">
        <v>68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/>
      <c r="E61" s="46" t="s">
        <v>46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44</v>
      </c>
      <c r="D62" s="47"/>
      <c r="E62" s="46" t="s">
        <v>3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/>
      <c r="E63" s="46" t="s">
        <v>44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68</v>
      </c>
      <c r="D64" s="47"/>
      <c r="E64" s="46" t="s">
        <v>46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/>
      <c r="E65" s="46" t="s">
        <v>23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43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457</v>
      </c>
    </row>
    <row r="104" spans="1:10" x14ac:dyDescent="0.3">
      <c r="D104" s="1">
        <f>SUM(D3:D102)</f>
        <v>184</v>
      </c>
      <c r="F104" s="1">
        <f>SUM(F3:F102)</f>
        <v>273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2023-02-06T17:55:41Z</dcterms:modified>
</cp:coreProperties>
</file>