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376" documentId="8_{970098D5-2AA6-4EE8-9507-3C4E4A614472}" xr6:coauthVersionLast="47" xr6:coauthVersionMax="47" xr10:uidLastSave="{C4C79FDF-FADD-47C3-95BA-A04BD6212B52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<sst xmlns="http://schemas.openxmlformats.org/spreadsheetml/2006/main" count="181" uniqueCount="50">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</sst>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F20" sqref="F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</v>
      </c>
      <c r="D4" s="28">
        <v>0</v>
      </c>
      <c r="E4" s="28">
        <v>0</v>
      </c>
      <c r="F4" s="28">
        <v>0</v>
      </c>
      <c r="G4" s="28">
        <v>0</v>
      </c>
      <c r="H4" s="74">
        <v>0</v>
      </c>
      <c r="I4" s="28">
        <v>0</v>
      </c>
      <c r="J4" s="75">
        <v>0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</v>
      </c>
      <c r="D5" s="28">
        <v>0</v>
      </c>
      <c r="E5" s="28">
        <v>0</v>
      </c>
      <c r="F5" s="28">
        <v>0</v>
      </c>
      <c r="G5" s="28">
        <v>0</v>
      </c>
      <c r="H5" s="74">
        <v>0</v>
      </c>
      <c r="I5" s="28">
        <v>0</v>
      </c>
      <c r="J5" s="75">
        <v>0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0</v>
      </c>
      <c r="E6" s="28">
        <v>0</v>
      </c>
      <c r="F6" s="28">
        <v>0</v>
      </c>
      <c r="G6" s="28">
        <v>0</v>
      </c>
      <c r="H6" s="74">
        <v>0</v>
      </c>
      <c r="I6" s="28">
        <v>0</v>
      </c>
      <c r="J6" s="75">
        <v>0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0</v>
      </c>
      <c r="E7" s="28">
        <v>0</v>
      </c>
      <c r="F7" s="28">
        <v>0</v>
      </c>
      <c r="G7" s="28">
        <v>0</v>
      </c>
      <c r="H7" s="74">
        <v>0</v>
      </c>
      <c r="I7" s="28">
        <v>0</v>
      </c>
      <c r="J7" s="75">
        <v>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47</v>
      </c>
      <c r="D8" s="28">
        <v>0</v>
      </c>
      <c r="E8" s="28">
        <v>0</v>
      </c>
      <c r="F8" s="28">
        <v>0</v>
      </c>
      <c r="G8" s="28">
        <v>0</v>
      </c>
      <c r="H8" s="74">
        <v>0</v>
      </c>
      <c r="I8" s="28">
        <v>0</v>
      </c>
      <c r="J8" s="75">
        <v>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3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49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/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44834.849363425928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6" zoomScaleNormal="100" workbookViewId="0">
      <selection activeCell="F28" sqref="F28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/>
      <c r="E3" s="46" t="s">
        <v>40</v>
      </c>
      <c r="F3" s="47"/>
      <c r="G3" s="48"/>
      <c r="H3" s="49"/>
      <c r="I3" s="50"/>
      <c r="J3" s="50"/>
      <c r="M3" s="52" t="s">
        <v>26</v>
      </c>
      <c r="N3" s="53">
        <v>3</v>
      </c>
      <c r="P3" s="54">
        <f>D3-F3</f>
        <v>0</v>
      </c>
      <c r="Q3" s="51">
        <f>ABS(P3)</f>
        <v>0</v>
      </c>
      <c r="R3" s="55">
        <v>1</v>
      </c>
      <c r="S3" s="51" t="s">
        <v>33</v>
      </c>
      <c r="T3" s="51">
        <f>COUNTIF($Q$3:$Q$65,R3)</f>
        <v>0</v>
      </c>
      <c r="U3" s="56">
        <f>IF($T$2&gt;0, T3/$T$2, 0)</f>
        <v>0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/>
      <c r="E4" s="46" t="s">
        <v>49</v>
      </c>
      <c r="F4" s="47"/>
      <c r="G4" s="48"/>
      <c r="H4" s="49"/>
      <c r="I4" s="50"/>
      <c r="J4" s="50"/>
      <c r="M4" s="53" t="s">
        <v>39</v>
      </c>
      <c r="N4" s="53">
        <v>4</v>
      </c>
      <c r="P4" s="54">
        <f t="shared" ref="P4:P14" si="0">D4-F4</f>
        <v>0</v>
      </c>
      <c r="Q4" s="51">
        <f t="shared" ref="Q4:Q14" si="1">ABS(P4)</f>
        <v>0</v>
      </c>
      <c r="R4" s="55">
        <v>2</v>
      </c>
      <c r="S4" s="51" t="s">
        <v>33</v>
      </c>
      <c r="T4" s="51">
        <f>COUNTIF($Q$3:$Q$65,R4)</f>
        <v>0</v>
      </c>
      <c r="U4" s="56">
        <f>IF($T$2&gt;0, T4/$T$2, 0)</f>
        <v>0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/>
      <c r="E5" s="46" t="s">
        <v>47</v>
      </c>
      <c r="F5" s="47"/>
      <c r="G5" s="48"/>
      <c r="H5" s="49"/>
      <c r="I5" s="50"/>
      <c r="J5" s="50"/>
      <c r="M5" s="53" t="s">
        <v>47</v>
      </c>
      <c r="N5" s="53">
        <v>5</v>
      </c>
      <c r="P5" s="54">
        <f t="shared" si="0"/>
        <v>0</v>
      </c>
      <c r="Q5" s="51">
        <f t="shared" si="1"/>
        <v>0</v>
      </c>
      <c r="R5" s="55">
        <v>3</v>
      </c>
      <c r="S5" s="51" t="s">
        <v>33</v>
      </c>
      <c r="T5" s="51">
        <f>COUNTIF($Q$3:$Q$65,R5)</f>
        <v>0</v>
      </c>
      <c r="U5" s="56">
        <f>IF($T$2&gt;0, T5/$T$2, 0)</f>
        <v>0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/>
      <c r="E6" s="46" t="s">
        <v>49</v>
      </c>
      <c r="F6" s="47"/>
      <c r="G6" s="48"/>
      <c r="H6" s="49"/>
      <c r="I6" s="50"/>
      <c r="J6" s="50"/>
      <c r="M6" s="53" t="s">
        <v>22</v>
      </c>
      <c r="N6" s="53">
        <v>6</v>
      </c>
      <c r="P6" s="54">
        <f t="shared" si="0"/>
        <v>0</v>
      </c>
      <c r="Q6" s="51">
        <f t="shared" si="1"/>
        <v>0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/>
      <c r="E7" s="46" t="s">
        <v>25</v>
      </c>
      <c r="F7" s="47"/>
      <c r="G7" s="48"/>
      <c r="H7" s="49"/>
      <c r="I7" s="50"/>
      <c r="J7" s="50"/>
      <c r="M7" s="53" t="s">
        <v>48</v>
      </c>
      <c r="N7" s="53">
        <v>7</v>
      </c>
      <c r="P7" s="54">
        <f t="shared" si="0"/>
        <v>0</v>
      </c>
      <c r="Q7" s="51">
        <f t="shared" si="1"/>
        <v>0</v>
      </c>
      <c r="R7" s="57" t="s">
        <v>32</v>
      </c>
      <c r="S7" s="58" t="s">
        <v>33</v>
      </c>
      <c r="T7" s="58">
        <f>COUNTIF($Q$3:$Q$65,"&gt;=5")</f>
        <v>0</v>
      </c>
      <c r="U7" s="59">
        <f>IF($T$2&gt;0, T7/$T$2, 0)</f>
        <v>0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/>
      <c r="E8" s="46" t="s">
        <v>3</v>
      </c>
      <c r="F8" s="47"/>
      <c r="G8" s="48"/>
      <c r="H8" s="49"/>
      <c r="I8" s="50"/>
      <c r="J8" s="50"/>
      <c r="M8" s="53"/>
      <c r="N8" s="53"/>
      <c r="P8" s="54">
        <f t="shared" si="0"/>
        <v>0</v>
      </c>
      <c r="Q8" s="60">
        <f t="shared" si="1"/>
        <v>0</v>
      </c>
      <c r="U8" s="61">
        <f>SUM(U3:U7)</f>
        <v>0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/>
      <c r="E9" s="46" t="s">
        <v>47</v>
      </c>
      <c r="F9" s="47"/>
      <c r="G9" s="48"/>
      <c r="H9" s="49"/>
      <c r="I9" s="50"/>
      <c r="J9" s="50"/>
      <c r="M9" s="53"/>
      <c r="N9" s="53"/>
      <c r="P9" s="54">
        <f t="shared" si="0"/>
        <v>0</v>
      </c>
      <c r="Q9" s="60">
        <f t="shared" si="1"/>
        <v>0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/>
      <c r="E10" s="46" t="s">
        <v>25</v>
      </c>
      <c r="F10" s="47"/>
      <c r="G10" s="48"/>
      <c r="H10" s="49"/>
      <c r="I10" s="50"/>
      <c r="J10" s="50"/>
      <c r="M10" s="53"/>
      <c r="N10" s="53"/>
      <c r="P10" s="54">
        <f t="shared" si="0"/>
        <v>0</v>
      </c>
      <c r="Q10" s="60">
        <f t="shared" si="1"/>
        <v>0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/>
      <c r="E11" s="46" t="s">
        <v>40</v>
      </c>
      <c r="F11" s="47"/>
      <c r="G11" s="48"/>
      <c r="H11" s="49"/>
      <c r="I11" s="50"/>
      <c r="J11" s="50"/>
      <c r="N11" s="53">
        <v>7</v>
      </c>
      <c r="P11" s="54">
        <f t="shared" si="0"/>
        <v>0</v>
      </c>
      <c r="Q11" s="60">
        <f t="shared" si="1"/>
        <v>0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44932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44933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43</v>
      </c>
      <c r="B45" s="45">
        <v>44940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0</v>
      </c>
    </row>
    <row r="104" spans="1:10" x14ac:dyDescent="0.3">
      <c r="D104" s="1">
        <f>SUM(D3:D102)</f>
        <v>0</v>
      </c>
      <c r="F104" s="1">
        <f>SUM(F3:F102)</f>
        <v>0</v>
      </c>
    </row>
  </sheetData>
  <sortState xmlns:xlrd2="http://schemas.microsoft.com/office/spreadsheetml/2017/richdata2" ref="A4:G27">
    <sortCondition ref="B4:B27"/>
    <sortCondition ref="A4:A2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2022-10-01T00:24:01Z</dcterms:modified>
</cp:coreProperties>
</file>