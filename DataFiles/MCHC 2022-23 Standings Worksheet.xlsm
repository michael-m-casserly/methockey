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0836" documentId="8_{970098D5-2AA6-4EE8-9507-3C4E4A614472}" xr6:coauthVersionLast="47" xr6:coauthVersionMax="47" xr10:uidLastSave="{0E190665-277C-4508-B8BF-48B3740508DD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<sst xmlns="http://schemas.openxmlformats.org/spreadsheetml/2006/main" count="211" uniqueCount="65">
  <si>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</si>
  <si>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</si>
  <si>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</si>
  <si>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</si>
  <si>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</si>
  <si>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</si>
  <si>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</si>
  <si>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</si>
  <si>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</si>
  <si>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</si>
  <si>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</si>
  <si>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</si>
  <si>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</si>
  <si>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</si>
  <si>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</si>
  <si>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</si>
  <si>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</si>
  <si>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</si>
  <si>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</si>
  <si>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</si>
  <si>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</si>
  <si>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</si>
  <si>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</si>
  <si>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</si>
  <si>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</si>
  <si>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</si>
  <si>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</si>
  <si>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</si>
  <si>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</si>
  <si>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</si>
  <si>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</si>
  <si>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</si>
  <si>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</si>
  <si>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</si>
  <si>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</si>
  <si>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</si>
  <si>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</si>
  <si>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</si>
  <si>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</si>
  <si>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</si>
  <si>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</si>
  <si>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</si>
  <si>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</si>
  <si>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</si>
  <si>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</si>
  <si>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</si>
  <si>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</si>
  <si>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</si>
  <si>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</si>
  <si>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</si>
  <si>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</si>
  <si>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</si>
  <si>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</si>
  <si>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</si>
  <si>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</si>
  <si>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</si>
  <si>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</si>
  <si>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</si>
  <si>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</si>
  <si>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</si>
  <si>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</si>
  <si>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</si>
  <si>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</si>
  <si>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WestConn (Home) Wins</t>
  </si>
  <si>
    <t>Kings Point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</si>
</sst>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4" sqref="U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8</v>
      </c>
      <c r="E4" s="28">
        <v>7</v>
      </c>
      <c r="F4" s="28">
        <v>1</v>
      </c>
      <c r="G4" s="28">
        <v>0</v>
      </c>
      <c r="H4" s="74">
        <v>14</v>
      </c>
      <c r="I4" s="28">
        <v>56</v>
      </c>
      <c r="J4" s="75">
        <v>24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40</v>
      </c>
      <c r="D5" s="28">
        <v>9</v>
      </c>
      <c r="E5" s="28">
        <v>6</v>
      </c>
      <c r="F5" s="28">
        <v>2</v>
      </c>
      <c r="G5" s="28">
        <v>1</v>
      </c>
      <c r="H5" s="74">
        <v>13</v>
      </c>
      <c r="I5" s="28">
        <v>62</v>
      </c>
      <c r="J5" s="75">
        <v>18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10</v>
      </c>
      <c r="E6" s="28">
        <v>5</v>
      </c>
      <c r="F6" s="28">
        <v>4</v>
      </c>
      <c r="G6" s="28">
        <v>1</v>
      </c>
      <c r="H6" s="74">
        <v>11</v>
      </c>
      <c r="I6" s="28">
        <v>27</v>
      </c>
      <c r="J6" s="75">
        <v>41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47</v>
      </c>
      <c r="D7" s="28">
        <v>11</v>
      </c>
      <c r="E7" s="28">
        <v>5</v>
      </c>
      <c r="F7" s="28">
        <v>6</v>
      </c>
      <c r="G7" s="28">
        <v>0</v>
      </c>
      <c r="H7" s="74">
        <v>10</v>
      </c>
      <c r="I7" s="28">
        <v>38</v>
      </c>
      <c r="J7" s="75">
        <v>63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49</v>
      </c>
      <c r="D8" s="28">
        <v>8</v>
      </c>
      <c r="E8" s="28">
        <v>3</v>
      </c>
      <c r="F8" s="28">
        <v>5</v>
      </c>
      <c r="G8" s="28">
        <v>0</v>
      </c>
      <c r="H8" s="74">
        <v>6</v>
      </c>
      <c r="I8" s="28">
        <v>31</v>
      </c>
      <c r="J8" s="75">
        <v>30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2</v>
      </c>
      <c r="E9" s="28">
        <v>1</v>
      </c>
      <c r="F9" s="28">
        <v>1</v>
      </c>
      <c r="G9" s="28">
        <v>0</v>
      </c>
      <c r="H9" s="74">
        <v>2</v>
      </c>
      <c r="I9" s="28">
        <v>9</v>
      </c>
      <c r="J9" s="75">
        <v>6</v>
      </c>
      <c r="K9" s="81"/>
    </row>
    <row r="10" spans="1:16" ht="18" customHeight="1" x14ac:dyDescent="0.3">
      <c r="A10" s="81"/>
      <c r="B10" s="69">
        <v>7</v>
      </c>
      <c r="C10" s="73" t="s">
        <v>4</v>
      </c>
      <c r="D10" s="28">
        <v>8</v>
      </c>
      <c r="E10" s="28">
        <v>1</v>
      </c>
      <c r="F10" s="28">
        <v>7</v>
      </c>
      <c r="G10" s="28">
        <v>0</v>
      </c>
      <c r="H10" s="74">
        <v>2</v>
      </c>
      <c r="I10" s="28">
        <v>22</v>
      </c>
      <c r="J10" s="75">
        <v>63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30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44885.50953703704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245</v>
      </c>
      <c r="J15" s="7">
        <f>SUM(J4:J12)</f>
        <v>245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31" sqref="A31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28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8</v>
      </c>
      <c r="U3" s="56">
        <f>IF($T$2&gt;0, T3/$T$2, 0)</f>
        <v>0.2857142857142857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-1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7.1428571428571425E-2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0.21428571428571427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1</v>
      </c>
      <c r="U6" s="56">
        <f>IF($T$2&gt;0, T6/$T$2, 0)</f>
        <v>3.5714285714285712E-2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11</v>
      </c>
      <c r="U7" s="59">
        <f>IF($T$2&gt;0, T7/$T$2, 0)</f>
        <v>0.39285714285714285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60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47</v>
      </c>
      <c r="F13" s="47">
        <v>4</v>
      </c>
      <c r="G13" s="48" t="s">
        <v>59</v>
      </c>
      <c r="H13" s="49" t="s">
        <v>61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>
        <v>1</v>
      </c>
      <c r="E14" s="46" t="s">
        <v>25</v>
      </c>
      <c r="F14" s="47">
        <v>4</v>
      </c>
      <c r="G14" s="48"/>
      <c r="H14" s="49" t="s">
        <v>55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>
        <v>7</v>
      </c>
      <c r="E15" s="46" t="s">
        <v>4</v>
      </c>
      <c r="F15" s="47">
        <v>6</v>
      </c>
      <c r="G15" s="48"/>
      <c r="H15" s="49" t="s">
        <v>62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47</v>
      </c>
      <c r="F16" s="47">
        <v>5</v>
      </c>
      <c r="G16" s="48"/>
      <c r="H16" s="49" t="s">
        <v>57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53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>
        <v>1</v>
      </c>
      <c r="E18" s="46" t="s">
        <v>3</v>
      </c>
      <c r="F18" s="47">
        <v>2</v>
      </c>
      <c r="G18" s="48"/>
      <c r="H18" s="49" t="s">
        <v>56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>
        <v>4</v>
      </c>
      <c r="E20" s="46" t="s">
        <v>49</v>
      </c>
      <c r="F20" s="47">
        <v>11</v>
      </c>
      <c r="G20" s="48"/>
      <c r="H20" s="49" t="s">
        <v>63</v>
      </c>
      <c r="I20" s="50">
        <v>1</v>
      </c>
      <c r="J20" s="50">
        <v>7</v>
      </c>
      <c r="P20" s="54">
        <f t="shared" si="2"/>
        <v>-7</v>
      </c>
      <c r="Q20" s="60">
        <f t="shared" si="3"/>
        <v>7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>
        <v>5</v>
      </c>
      <c r="E21" s="46" t="s">
        <v>47</v>
      </c>
      <c r="F21" s="47">
        <v>4</v>
      </c>
      <c r="G21" s="48"/>
      <c r="H21" s="49" t="s">
        <v>58</v>
      </c>
      <c r="I21" s="50">
        <v>3</v>
      </c>
      <c r="J21" s="50">
        <v>5</v>
      </c>
      <c r="P21" s="54">
        <f t="shared" si="2"/>
        <v>1</v>
      </c>
      <c r="Q21" s="60">
        <f t="shared" si="3"/>
        <v>1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>
        <v>1</v>
      </c>
      <c r="E22" s="46" t="s">
        <v>3</v>
      </c>
      <c r="F22" s="47">
        <v>4</v>
      </c>
      <c r="G22" s="48"/>
      <c r="H22" s="49" t="s">
        <v>56</v>
      </c>
      <c r="I22" s="50">
        <v>1</v>
      </c>
      <c r="J22" s="50">
        <v>6</v>
      </c>
      <c r="P22" s="54">
        <f t="shared" si="2"/>
        <v>-3</v>
      </c>
      <c r="Q22" s="60">
        <f t="shared" si="3"/>
        <v>3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>
        <v>8</v>
      </c>
      <c r="E23" s="46" t="s">
        <v>47</v>
      </c>
      <c r="F23" s="47">
        <v>1</v>
      </c>
      <c r="G23" s="48"/>
      <c r="H23" s="49" t="s">
        <v>53</v>
      </c>
      <c r="I23" s="50">
        <v>4</v>
      </c>
      <c r="J23" s="50">
        <v>5</v>
      </c>
      <c r="P23" s="54">
        <f t="shared" si="2"/>
        <v>7</v>
      </c>
      <c r="Q23" s="60">
        <f t="shared" si="3"/>
        <v>7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>
        <v>4</v>
      </c>
      <c r="E24" s="46" t="s">
        <v>25</v>
      </c>
      <c r="F24" s="47">
        <v>10</v>
      </c>
      <c r="G24" s="48"/>
      <c r="H24" s="49" t="s">
        <v>55</v>
      </c>
      <c r="I24" s="50">
        <v>6</v>
      </c>
      <c r="J24" s="50">
        <v>3</v>
      </c>
      <c r="N24" s="51">
        <f>LOOKUP(C25,M1:M6,N1:N6)</f>
        <v>5</v>
      </c>
      <c r="P24" s="54">
        <f t="shared" si="2"/>
        <v>-6</v>
      </c>
      <c r="Q24" s="60">
        <f t="shared" si="3"/>
        <v>6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>
        <v>3</v>
      </c>
      <c r="E25" s="46" t="s">
        <v>49</v>
      </c>
      <c r="F25" s="47">
        <v>8</v>
      </c>
      <c r="G25" s="48"/>
      <c r="H25" s="49" t="s">
        <v>63</v>
      </c>
      <c r="I25" s="50">
        <v>5</v>
      </c>
      <c r="J25" s="50">
        <v>7</v>
      </c>
      <c r="O25" s="51">
        <f>LOOKUP(E25,M1:M6,N1:N6)</f>
        <v>6</v>
      </c>
      <c r="P25" s="54">
        <f t="shared" si="2"/>
        <v>-5</v>
      </c>
      <c r="Q25" s="60">
        <f t="shared" si="3"/>
        <v>5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>
        <v>3</v>
      </c>
      <c r="E26" s="46" t="s">
        <v>3</v>
      </c>
      <c r="F26" s="47">
        <v>6</v>
      </c>
      <c r="G26" s="48"/>
      <c r="H26" s="49" t="s">
        <v>56</v>
      </c>
      <c r="I26" s="50">
        <v>1</v>
      </c>
      <c r="J26" s="50">
        <v>6</v>
      </c>
      <c r="P26" s="54">
        <f t="shared" si="2"/>
        <v>-3</v>
      </c>
      <c r="Q26" s="60">
        <f t="shared" si="3"/>
        <v>3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>
        <v>2</v>
      </c>
      <c r="E27" s="46" t="s">
        <v>40</v>
      </c>
      <c r="F27" s="47">
        <v>18</v>
      </c>
      <c r="G27" s="48"/>
      <c r="H27" s="49" t="s">
        <v>51</v>
      </c>
      <c r="I27" s="50">
        <v>1</v>
      </c>
      <c r="J27" s="50">
        <v>4</v>
      </c>
      <c r="P27" s="54">
        <f t="shared" si="2"/>
        <v>-16</v>
      </c>
      <c r="Q27" s="60">
        <f t="shared" si="3"/>
        <v>16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>
        <v>2</v>
      </c>
      <c r="E28" s="46" t="s">
        <v>47</v>
      </c>
      <c r="F28" s="47">
        <v>3</v>
      </c>
      <c r="G28" s="48"/>
      <c r="H28" s="49" t="s">
        <v>57</v>
      </c>
      <c r="I28" s="50">
        <v>2</v>
      </c>
      <c r="J28" s="50">
        <v>5</v>
      </c>
      <c r="P28" s="54">
        <f t="shared" si="2"/>
        <v>-1</v>
      </c>
      <c r="Q28" s="60">
        <f t="shared" si="3"/>
        <v>1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>
        <v>7</v>
      </c>
      <c r="E29" s="46" t="s">
        <v>49</v>
      </c>
      <c r="F29" s="47">
        <v>3</v>
      </c>
      <c r="G29" s="48"/>
      <c r="H29" s="49" t="s">
        <v>64</v>
      </c>
      <c r="I29" s="50">
        <v>2</v>
      </c>
      <c r="J29" s="50">
        <v>7</v>
      </c>
      <c r="P29" s="54">
        <f t="shared" si="2"/>
        <v>4</v>
      </c>
      <c r="Q29" s="60">
        <f t="shared" si="3"/>
        <v>4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>
        <v>0</v>
      </c>
      <c r="E30" s="46" t="s">
        <v>40</v>
      </c>
      <c r="F30" s="47">
        <v>7</v>
      </c>
      <c r="G30" s="48"/>
      <c r="H30" s="49" t="s">
        <v>51</v>
      </c>
      <c r="I30" s="50">
        <v>6</v>
      </c>
      <c r="J30" s="50">
        <v>4</v>
      </c>
      <c r="P30" s="54">
        <f t="shared" si="2"/>
        <v>-7</v>
      </c>
      <c r="Q30" s="60">
        <f t="shared" si="3"/>
        <v>7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>
        <v>3</v>
      </c>
      <c r="E31" s="46" t="s">
        <v>25</v>
      </c>
      <c r="F31" s="47">
        <v>9</v>
      </c>
      <c r="G31" s="48"/>
      <c r="H31" s="49" t="s">
        <v>55</v>
      </c>
      <c r="I31" s="50">
        <v>5</v>
      </c>
      <c r="J31" s="50">
        <v>3</v>
      </c>
      <c r="P31" s="54">
        <f t="shared" si="2"/>
        <v>-6</v>
      </c>
      <c r="Q31" s="60">
        <f t="shared" si="3"/>
        <v>6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245</v>
      </c>
    </row>
    <row r="104" spans="1:10" x14ac:dyDescent="0.3">
      <c r="D104" s="1">
        <f>SUM(D3:D102)</f>
        <v>91</v>
      </c>
      <c r="F104" s="1">
        <f>SUM(F3:F102)</f>
        <v>154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2022-11-20T17:14:16Z</dcterms:modified>
</cp:coreProperties>
</file>