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372" documentId="8_{970098D5-2AA6-4EE8-9507-3C4E4A614472}" xr6:coauthVersionLast="47" xr6:coauthVersionMax="47" xr10:uidLastSave="{3435C0B2-638B-46DC-BA0D-A725E5FE1A46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<sst xmlns="http://schemas.openxmlformats.org/spreadsheetml/2006/main" count="182" uniqueCount="51">
  <si>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</si>
  <si>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</si>
  <si>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</si>
  <si>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</si>
  <si>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</si>
  <si>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</si>
  <si>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</si>
  <si>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</si>
  <si>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</si>
  <si>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</si>
  <si>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</si>
  <si>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</si>
  <si>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</si>
  <si>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</si>
  <si>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</si>
  <si>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</si>
  <si>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</si>
  <si>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</si>
  <si>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</si>
  <si>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</si>
  <si>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</si>
  <si>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</si>
  <si>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</si>
  <si>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</si>
  <si>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</si>
  <si>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</si>
  <si>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</si>
  <si>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</si>
  <si>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</si>
  <si>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</si>
  <si>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</si>
  <si>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</si>
  <si>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</si>
  <si>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</si>
  <si>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</si>
  <si>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</si>
  <si>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</si>
  <si>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</si>
  <si>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</si>
  <si>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</si>
  <si>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</si>
  <si>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</si>
  <si>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</si>
  <si>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</si>
  <si>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</si>
  <si>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</si>
  <si>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</si>
  <si>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TBD</t>
  </si>
  <si>
    <t>STAC</t>
  </si>
  <si>
    <t>WESTCONN</t>
  </si>
  <si>
    <t>WestConn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</si>
</sst>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F20" sqref="F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</v>
      </c>
      <c r="D4" s="28">
        <v>0</v>
      </c>
      <c r="E4" s="28">
        <v>0</v>
      </c>
      <c r="F4" s="28">
        <v>0</v>
      </c>
      <c r="G4" s="28">
        <v>0</v>
      </c>
      <c r="H4" s="74">
        <v>0</v>
      </c>
      <c r="I4" s="28">
        <v>0</v>
      </c>
      <c r="J4" s="75">
        <v>0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</v>
      </c>
      <c r="D5" s="28">
        <v>0</v>
      </c>
      <c r="E5" s="28">
        <v>0</v>
      </c>
      <c r="F5" s="28">
        <v>0</v>
      </c>
      <c r="G5" s="28">
        <v>0</v>
      </c>
      <c r="H5" s="74">
        <v>0</v>
      </c>
      <c r="I5" s="28">
        <v>0</v>
      </c>
      <c r="J5" s="75">
        <v>0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0</v>
      </c>
      <c r="E6" s="28">
        <v>0</v>
      </c>
      <c r="F6" s="28">
        <v>0</v>
      </c>
      <c r="G6" s="28">
        <v>0</v>
      </c>
      <c r="H6" s="74">
        <v>0</v>
      </c>
      <c r="I6" s="28">
        <v>0</v>
      </c>
      <c r="J6" s="75">
        <v>0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40</v>
      </c>
      <c r="D7" s="28">
        <v>0</v>
      </c>
      <c r="E7" s="28">
        <v>0</v>
      </c>
      <c r="F7" s="28">
        <v>0</v>
      </c>
      <c r="G7" s="28">
        <v>0</v>
      </c>
      <c r="H7" s="74">
        <v>0</v>
      </c>
      <c r="I7" s="28">
        <v>0</v>
      </c>
      <c r="J7" s="75">
        <v>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48</v>
      </c>
      <c r="D8" s="28">
        <v>0</v>
      </c>
      <c r="E8" s="28">
        <v>0</v>
      </c>
      <c r="F8" s="28">
        <v>0</v>
      </c>
      <c r="G8" s="28">
        <v>0</v>
      </c>
      <c r="H8" s="74">
        <v>0</v>
      </c>
      <c r="I8" s="28">
        <v>0</v>
      </c>
      <c r="J8" s="75">
        <v>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3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50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/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44825.778703703705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H6" sqref="H6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/>
      <c r="E3" s="46" t="s">
        <v>40</v>
      </c>
      <c r="F3" s="47"/>
      <c r="G3" s="48"/>
      <c r="H3" s="49"/>
      <c r="I3" s="50"/>
      <c r="J3" s="50"/>
      <c r="M3" s="52" t="s">
        <v>26</v>
      </c>
      <c r="N3" s="53">
        <v>3</v>
      </c>
      <c r="P3" s="54">
        <f>D3-F3</f>
        <v>0</v>
      </c>
      <c r="Q3" s="51">
        <f>ABS(P3)</f>
        <v>0</v>
      </c>
      <c r="R3" s="55">
        <v>1</v>
      </c>
      <c r="S3" s="51" t="s">
        <v>33</v>
      </c>
      <c r="T3" s="51">
        <f>COUNTIF($Q$3:$Q$65,R3)</f>
        <v>0</v>
      </c>
      <c r="U3" s="56">
        <f>IF($T$2&gt;0, T3/$T$2, 0)</f>
        <v>0</v>
      </c>
    </row>
    <row r="4" spans="1:21" s="51" customFormat="1" ht="15.6" thickTop="1" thickBot="1" x14ac:dyDescent="0.35">
      <c r="A4" s="44">
        <v>2</v>
      </c>
      <c r="B4" s="45">
        <v>44835</v>
      </c>
      <c r="C4" s="46" t="s">
        <v>4</v>
      </c>
      <c r="D4" s="47"/>
      <c r="E4" s="46" t="s">
        <v>3</v>
      </c>
      <c r="F4" s="47"/>
      <c r="G4" s="48"/>
      <c r="H4" s="49"/>
      <c r="I4" s="50"/>
      <c r="J4" s="50"/>
      <c r="M4" s="53" t="s">
        <v>39</v>
      </c>
      <c r="N4" s="53">
        <v>4</v>
      </c>
      <c r="P4" s="54">
        <f t="shared" ref="P4:P14" si="0">D4-F4</f>
        <v>0</v>
      </c>
      <c r="Q4" s="51">
        <f t="shared" ref="Q4:Q14" si="1">ABS(P4)</f>
        <v>0</v>
      </c>
      <c r="R4" s="55">
        <v>2</v>
      </c>
      <c r="S4" s="51" t="s">
        <v>33</v>
      </c>
      <c r="T4" s="51">
        <f>COUNTIF($Q$3:$Q$65,R4)</f>
        <v>0</v>
      </c>
      <c r="U4" s="56">
        <f>IF($T$2&gt;0, T4/$T$2, 0)</f>
        <v>0</v>
      </c>
    </row>
    <row r="5" spans="1:21" s="51" customFormat="1" ht="15.6" thickTop="1" thickBot="1" x14ac:dyDescent="0.35">
      <c r="A5" s="44">
        <v>3</v>
      </c>
      <c r="B5" s="45">
        <v>44835</v>
      </c>
      <c r="C5" s="46" t="s">
        <v>40</v>
      </c>
      <c r="D5" s="47"/>
      <c r="E5" s="46" t="s">
        <v>50</v>
      </c>
      <c r="F5" s="47"/>
      <c r="G5" s="48"/>
      <c r="H5" s="49"/>
      <c r="I5" s="50"/>
      <c r="J5" s="50"/>
      <c r="M5" s="53" t="s">
        <v>48</v>
      </c>
      <c r="N5" s="53">
        <v>5</v>
      </c>
      <c r="P5" s="54">
        <f t="shared" si="0"/>
        <v>0</v>
      </c>
      <c r="Q5" s="51">
        <f t="shared" si="1"/>
        <v>0</v>
      </c>
      <c r="R5" s="55">
        <v>3</v>
      </c>
      <c r="S5" s="51" t="s">
        <v>33</v>
      </c>
      <c r="T5" s="51">
        <f>COUNTIF($Q$3:$Q$65,R5)</f>
        <v>0</v>
      </c>
      <c r="U5" s="56">
        <f>IF($T$2&gt;0, T5/$T$2, 0)</f>
        <v>0</v>
      </c>
    </row>
    <row r="6" spans="1:21" s="51" customFormat="1" ht="15.6" thickTop="1" thickBot="1" x14ac:dyDescent="0.35">
      <c r="A6" s="44">
        <v>4</v>
      </c>
      <c r="B6" s="45">
        <v>44841</v>
      </c>
      <c r="C6" s="46" t="s">
        <v>40</v>
      </c>
      <c r="D6" s="47"/>
      <c r="E6" s="46" t="s">
        <v>48</v>
      </c>
      <c r="F6" s="47"/>
      <c r="G6" s="48"/>
      <c r="H6" s="49"/>
      <c r="I6" s="50"/>
      <c r="J6" s="50"/>
      <c r="M6" s="53" t="s">
        <v>22</v>
      </c>
      <c r="N6" s="53">
        <v>6</v>
      </c>
      <c r="P6" s="54">
        <f t="shared" si="0"/>
        <v>0</v>
      </c>
      <c r="Q6" s="51">
        <f t="shared" si="1"/>
        <v>0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5</v>
      </c>
      <c r="B7" s="45">
        <v>44841</v>
      </c>
      <c r="C7" s="46" t="s">
        <v>3</v>
      </c>
      <c r="D7" s="47"/>
      <c r="E7" s="46" t="s">
        <v>50</v>
      </c>
      <c r="F7" s="47"/>
      <c r="G7" s="48"/>
      <c r="H7" s="49"/>
      <c r="I7" s="50"/>
      <c r="J7" s="50"/>
      <c r="M7" s="53" t="s">
        <v>49</v>
      </c>
      <c r="N7" s="53">
        <v>7</v>
      </c>
      <c r="P7" s="54">
        <f t="shared" si="0"/>
        <v>0</v>
      </c>
      <c r="Q7" s="51">
        <f t="shared" si="1"/>
        <v>0</v>
      </c>
      <c r="R7" s="57" t="s">
        <v>32</v>
      </c>
      <c r="S7" s="58" t="s">
        <v>33</v>
      </c>
      <c r="T7" s="58">
        <f>COUNTIF($Q$3:$Q$65,"&gt;=5")</f>
        <v>0</v>
      </c>
      <c r="U7" s="59">
        <f>IF($T$2&gt;0, T7/$T$2, 0)</f>
        <v>0</v>
      </c>
    </row>
    <row r="8" spans="1:21" s="51" customFormat="1" ht="15.6" thickTop="1" thickBot="1" x14ac:dyDescent="0.35">
      <c r="A8" s="44">
        <v>6</v>
      </c>
      <c r="B8" s="45">
        <v>44842</v>
      </c>
      <c r="C8" s="46" t="s">
        <v>48</v>
      </c>
      <c r="D8" s="47"/>
      <c r="E8" s="46" t="s">
        <v>25</v>
      </c>
      <c r="F8" s="47"/>
      <c r="G8" s="48"/>
      <c r="H8" s="49"/>
      <c r="I8" s="50"/>
      <c r="J8" s="50"/>
      <c r="M8" s="53"/>
      <c r="N8" s="53"/>
      <c r="P8" s="54">
        <f t="shared" si="0"/>
        <v>0</v>
      </c>
      <c r="Q8" s="60">
        <f t="shared" si="1"/>
        <v>0</v>
      </c>
      <c r="U8" s="61">
        <f>SUM(U3:U7)</f>
        <v>0</v>
      </c>
    </row>
    <row r="9" spans="1:21" s="51" customFormat="1" ht="15.6" thickTop="1" thickBot="1" x14ac:dyDescent="0.35">
      <c r="A9" s="44">
        <v>7</v>
      </c>
      <c r="B9" s="45">
        <v>44843</v>
      </c>
      <c r="C9" s="46" t="s">
        <v>25</v>
      </c>
      <c r="D9" s="47"/>
      <c r="E9" s="46" t="s">
        <v>3</v>
      </c>
      <c r="F9" s="47"/>
      <c r="G9" s="48"/>
      <c r="H9" s="49"/>
      <c r="I9" s="50"/>
      <c r="J9" s="50"/>
      <c r="M9" s="53"/>
      <c r="N9" s="53"/>
      <c r="P9" s="54">
        <f t="shared" si="0"/>
        <v>0</v>
      </c>
      <c r="Q9" s="60">
        <f t="shared" si="1"/>
        <v>0</v>
      </c>
      <c r="U9" s="61"/>
    </row>
    <row r="10" spans="1:21" s="51" customFormat="1" ht="15.6" thickTop="1" thickBot="1" x14ac:dyDescent="0.35">
      <c r="A10" s="44">
        <v>8</v>
      </c>
      <c r="B10" s="45">
        <v>44848</v>
      </c>
      <c r="C10" s="46" t="s">
        <v>50</v>
      </c>
      <c r="D10" s="47"/>
      <c r="E10" s="46" t="s">
        <v>48</v>
      </c>
      <c r="F10" s="47"/>
      <c r="G10" s="48"/>
      <c r="H10" s="49"/>
      <c r="I10" s="50"/>
      <c r="J10" s="50"/>
      <c r="M10" s="53"/>
      <c r="N10" s="53"/>
      <c r="P10" s="54">
        <f t="shared" si="0"/>
        <v>0</v>
      </c>
      <c r="Q10" s="60">
        <f t="shared" si="1"/>
        <v>0</v>
      </c>
      <c r="U10" s="61"/>
    </row>
    <row r="11" spans="1:21" s="51" customFormat="1" ht="15.6" thickTop="1" thickBot="1" x14ac:dyDescent="0.35">
      <c r="A11" s="44">
        <v>9</v>
      </c>
      <c r="B11" s="45">
        <v>44848</v>
      </c>
      <c r="C11" s="46" t="s">
        <v>4</v>
      </c>
      <c r="D11" s="47"/>
      <c r="E11" s="46" t="s">
        <v>25</v>
      </c>
      <c r="F11" s="47"/>
      <c r="G11" s="48"/>
      <c r="H11" s="49"/>
      <c r="I11" s="50"/>
      <c r="J11" s="50"/>
      <c r="N11" s="53">
        <v>7</v>
      </c>
      <c r="P11" s="54">
        <f t="shared" si="0"/>
        <v>0</v>
      </c>
      <c r="Q11" s="60">
        <f t="shared" si="1"/>
        <v>0</v>
      </c>
      <c r="U11" s="62"/>
    </row>
    <row r="12" spans="1:21" s="51" customFormat="1" ht="15" thickTop="1" x14ac:dyDescent="0.3">
      <c r="A12" s="44">
        <v>10</v>
      </c>
      <c r="B12" s="45">
        <v>44849</v>
      </c>
      <c r="C12" s="46" t="s">
        <v>25</v>
      </c>
      <c r="D12" s="47"/>
      <c r="E12" s="46" t="s">
        <v>40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11</v>
      </c>
      <c r="B13" s="45">
        <v>44849</v>
      </c>
      <c r="C13" s="46" t="s">
        <v>3</v>
      </c>
      <c r="D13" s="47"/>
      <c r="E13" s="46" t="s">
        <v>4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12</v>
      </c>
      <c r="B14" s="45">
        <v>44855</v>
      </c>
      <c r="C14" s="46" t="s">
        <v>4</v>
      </c>
      <c r="D14" s="47"/>
      <c r="E14" s="46" t="s">
        <v>40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13</v>
      </c>
      <c r="B15" s="45">
        <v>44855</v>
      </c>
      <c r="C15" s="46" t="s">
        <v>3</v>
      </c>
      <c r="D15" s="47"/>
      <c r="E15" s="46" t="s">
        <v>48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14</v>
      </c>
      <c r="B16" s="45">
        <v>44856</v>
      </c>
      <c r="C16" s="46" t="s">
        <v>50</v>
      </c>
      <c r="D16" s="47"/>
      <c r="E16" s="46" t="s">
        <v>25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15</v>
      </c>
      <c r="B17" s="45">
        <v>44856</v>
      </c>
      <c r="C17" s="46" t="s">
        <v>48</v>
      </c>
      <c r="D17" s="47"/>
      <c r="E17" s="46" t="s">
        <v>4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16</v>
      </c>
      <c r="B18" s="45">
        <v>44862</v>
      </c>
      <c r="C18" s="46" t="s">
        <v>4</v>
      </c>
      <c r="D18" s="47"/>
      <c r="E18" s="46" t="s">
        <v>48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17</v>
      </c>
      <c r="B19" s="45">
        <v>44862</v>
      </c>
      <c r="C19" s="46" t="s">
        <v>40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18</v>
      </c>
      <c r="B20" s="45">
        <v>44863</v>
      </c>
      <c r="C20" s="46" t="s">
        <v>50</v>
      </c>
      <c r="D20" s="47"/>
      <c r="E20" s="46" t="s">
        <v>3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19</v>
      </c>
      <c r="B21" s="45">
        <v>44863</v>
      </c>
      <c r="C21" s="46" t="s">
        <v>25</v>
      </c>
      <c r="D21" s="47"/>
      <c r="E21" s="46" t="s">
        <v>4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20</v>
      </c>
      <c r="B22" s="45">
        <v>44869</v>
      </c>
      <c r="C22" s="46" t="s">
        <v>4</v>
      </c>
      <c r="D22" s="47"/>
      <c r="E22" s="46" t="s">
        <v>50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21</v>
      </c>
      <c r="B23" s="45">
        <v>44869</v>
      </c>
      <c r="C23" s="46" t="s">
        <v>25</v>
      </c>
      <c r="D23" s="47"/>
      <c r="E23" s="46" t="s">
        <v>48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22</v>
      </c>
      <c r="B24" s="45">
        <v>44870</v>
      </c>
      <c r="C24" s="46" t="s">
        <v>4</v>
      </c>
      <c r="D24" s="47"/>
      <c r="E24" s="46" t="s">
        <v>3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23</v>
      </c>
      <c r="B25" s="45">
        <v>44876</v>
      </c>
      <c r="C25" s="46" t="s">
        <v>40</v>
      </c>
      <c r="D25" s="47"/>
      <c r="E25" s="46" t="s">
        <v>48</v>
      </c>
      <c r="F25" s="47"/>
      <c r="G25" s="48"/>
      <c r="H25" s="49"/>
      <c r="I25" s="50"/>
      <c r="J25" s="50"/>
      <c r="N25" s="51">
        <f>LOOKUP(C26,M1:M7,N1:N7)</f>
        <v>6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24</v>
      </c>
      <c r="B26" s="45">
        <v>44876</v>
      </c>
      <c r="C26" s="46" t="s">
        <v>3</v>
      </c>
      <c r="D26" s="47"/>
      <c r="E26" s="46" t="s">
        <v>25</v>
      </c>
      <c r="F26" s="47"/>
      <c r="G26" s="48"/>
      <c r="H26" s="49"/>
      <c r="I26" s="50"/>
      <c r="J26" s="50"/>
      <c r="O26" s="51">
        <f>LOOKUP(E26,M1:M7,N1:N7)</f>
        <v>3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25</v>
      </c>
      <c r="B27" s="45">
        <v>44877</v>
      </c>
      <c r="C27" s="46" t="s">
        <v>48</v>
      </c>
      <c r="D27" s="47"/>
      <c r="E27" s="46" t="s">
        <v>50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48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50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48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48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50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50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50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44932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44933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43</v>
      </c>
      <c r="B45" s="45">
        <v>44940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44</v>
      </c>
      <c r="B46" s="45">
        <v>44947</v>
      </c>
      <c r="C46" s="46" t="s">
        <v>50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47</v>
      </c>
      <c r="B49" s="45">
        <v>44954</v>
      </c>
      <c r="C49" s="46" t="s">
        <v>50</v>
      </c>
      <c r="D49" s="47"/>
      <c r="E49" s="46" t="s">
        <v>48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48</v>
      </c>
      <c r="B50" s="45">
        <v>44954</v>
      </c>
      <c r="C50" s="46" t="s">
        <v>2</v>
      </c>
      <c r="D50" s="47"/>
      <c r="E50" s="46" t="s">
        <v>3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49</v>
      </c>
      <c r="B51" s="45">
        <v>44955</v>
      </c>
      <c r="C51" s="46" t="s">
        <v>48</v>
      </c>
      <c r="D51" s="47"/>
      <c r="E51" s="46" t="s">
        <v>40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50</v>
      </c>
      <c r="B52" s="45">
        <v>44960</v>
      </c>
      <c r="C52" s="46" t="s">
        <v>48</v>
      </c>
      <c r="D52" s="47"/>
      <c r="E52" s="46" t="s">
        <v>3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51</v>
      </c>
      <c r="B53" s="45">
        <v>44960</v>
      </c>
      <c r="C53" s="46" t="s">
        <v>2</v>
      </c>
      <c r="D53" s="47"/>
      <c r="E53" s="46" t="s">
        <v>4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52</v>
      </c>
      <c r="B54" s="45">
        <v>44960</v>
      </c>
      <c r="C54" s="46" t="s">
        <v>50</v>
      </c>
      <c r="D54" s="47"/>
      <c r="E54" s="46" t="s">
        <v>25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53</v>
      </c>
      <c r="B55" s="45">
        <v>44961</v>
      </c>
      <c r="C55" s="46" t="s">
        <v>2</v>
      </c>
      <c r="D55" s="47"/>
      <c r="E55" s="46" t="s">
        <v>40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54</v>
      </c>
      <c r="B56" s="45">
        <v>44962</v>
      </c>
      <c r="C56" s="46" t="s">
        <v>2</v>
      </c>
      <c r="D56" s="47"/>
      <c r="E56" s="46" t="s">
        <v>48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55</v>
      </c>
      <c r="B57" s="45">
        <v>44962</v>
      </c>
      <c r="C57" s="46" t="s">
        <v>25</v>
      </c>
      <c r="D57" s="47"/>
      <c r="E57" s="46" t="s">
        <v>3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56</v>
      </c>
      <c r="B58" s="45">
        <v>44962</v>
      </c>
      <c r="C58" s="46" t="s">
        <v>50</v>
      </c>
      <c r="D58" s="47"/>
      <c r="E58" s="46" t="s">
        <v>40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57</v>
      </c>
      <c r="B59" s="45">
        <v>44967</v>
      </c>
      <c r="C59" s="46" t="s">
        <v>3</v>
      </c>
      <c r="D59" s="47"/>
      <c r="E59" s="46" t="s">
        <v>2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58</v>
      </c>
      <c r="B60" s="45">
        <v>44967</v>
      </c>
      <c r="C60" s="46" t="s">
        <v>50</v>
      </c>
      <c r="D60" s="47"/>
      <c r="E60" s="46" t="s">
        <v>25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59</v>
      </c>
      <c r="B61" s="45">
        <v>44967</v>
      </c>
      <c r="C61" s="46" t="s">
        <v>48</v>
      </c>
      <c r="D61" s="47"/>
      <c r="E61" s="46" t="s">
        <v>4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60</v>
      </c>
      <c r="B62" s="45">
        <v>44968</v>
      </c>
      <c r="C62" s="46" t="s">
        <v>3</v>
      </c>
      <c r="D62" s="47"/>
      <c r="E62" s="46" t="s">
        <v>48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61</v>
      </c>
      <c r="B63" s="45">
        <v>44968</v>
      </c>
      <c r="C63" s="46" t="s">
        <v>2</v>
      </c>
      <c r="D63" s="47"/>
      <c r="E63" s="46" t="s">
        <v>50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62</v>
      </c>
      <c r="B64" s="45">
        <v>44968</v>
      </c>
      <c r="C64" s="46" t="s">
        <v>4</v>
      </c>
      <c r="D64" s="47"/>
      <c r="E64" s="46" t="s">
        <v>25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63</v>
      </c>
      <c r="B65" s="45" t="s">
        <v>47</v>
      </c>
      <c r="C65" s="46" t="s">
        <v>50</v>
      </c>
      <c r="D65" s="47"/>
      <c r="E65" s="46" t="s">
        <v>3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0</v>
      </c>
    </row>
    <row r="104" spans="1:10" x14ac:dyDescent="0.3">
      <c r="D104" s="1">
        <f>SUM(D3:D102)</f>
        <v>0</v>
      </c>
      <c r="F104" s="1">
        <f>SUM(F3:F102)</f>
        <v>0</v>
      </c>
    </row>
  </sheetData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2022-09-21T22:41:35Z</dcterms:modified>
</cp:coreProperties>
</file>