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660" documentId="8_{970098D5-2AA6-4EE8-9507-3C4E4A614472}" xr6:coauthVersionLast="47" xr6:coauthVersionMax="47" xr10:uidLastSave="{5FFAB5B2-0CBA-4B8B-A448-4FB404E3DBA0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<sst xmlns="http://schemas.openxmlformats.org/spreadsheetml/2006/main" count="338" uniqueCount="75">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</sst>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2" fillId="3" borderId="17" xfId="0" applyFont="1" applyFill="1" applyBorder="1"/>
    <xf numFmtId="0" fontId="12" fillId="3" borderId="18" xfId="0" applyFont="1" applyFill="1" applyBorder="1"/>
    <xf numFmtId="0" fontId="12" fillId="3" borderId="22" xfId="0" applyFont="1" applyFill="1" applyBorder="1"/>
    <xf numFmtId="0" fontId="12" fillId="3" borderId="23" xfId="0" applyFont="1" applyFill="1" applyBorder="1"/>
    <xf numFmtId="0" fontId="12" fillId="3" borderId="1" xfId="0" applyFont="1" applyFill="1" applyBorder="1" applyAlignment="1">
      <alignment horizontal="center"/>
    </xf>
    <xf numFmtId="165" fontId="12" fillId="3" borderId="1" xfId="0" applyNumberFormat="1" applyFont="1" applyFill="1" applyBorder="1" applyAlignment="1">
      <alignment horizontal="center"/>
    </xf>
    <xf numFmtId="0" fontId="12" fillId="3" borderId="1" xfId="0" applyFont="1" applyFill="1" applyBorder="1"/>
    <xf numFmtId="0" fontId="13" fillId="3" borderId="13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7" fillId="0" borderId="1" xfId="2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20" fillId="0" borderId="1" xfId="2" applyFont="1" applyBorder="1" applyAlignment="1">
      <alignment horizontal="center"/>
    </xf>
    <xf numFmtId="0" fontId="0" fillId="4" borderId="0" xfId="0" applyFill="1"/>
    <xf numFmtId="0" fontId="13" fillId="3" borderId="14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2" fillId="3" borderId="16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21" xfId="0" applyFont="1" applyFill="1" applyBorder="1" applyAlignment="1">
      <alignment horizontal="right"/>
    </xf>
    <xf numFmtId="0" fontId="12" fillId="3" borderId="22" xfId="0" applyFont="1" applyFill="1" applyBorder="1" applyAlignment="1">
      <alignment horizontal="right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7" xfId="0" applyNumberFormat="1" applyFont="1" applyFill="1" applyBorder="1" applyAlignment="1">
      <alignment horizontal="center" vertical="center"/>
    </xf>
    <xf numFmtId="1" fontId="23" fillId="2" borderId="30" xfId="0" applyNumberFormat="1" applyFont="1" applyFill="1" applyBorder="1" applyAlignment="1">
      <alignment horizontal="center" vertical="center"/>
    </xf>
    <xf numFmtId="1" fontId="23" fillId="2" borderId="9" xfId="0" applyNumberFormat="1" applyFont="1" applyFill="1" applyBorder="1" applyAlignment="1">
      <alignment horizontal="center" vertical="center"/>
    </xf>
    <xf numFmtId="1" fontId="23" fillId="2" borderId="31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32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1" fontId="23" fillId="2" borderId="33" xfId="0" applyNumberFormat="1" applyFont="1" applyFill="1" applyBorder="1" applyAlignment="1">
      <alignment horizontal="center" vertical="center"/>
    </xf>
    <xf numFmtId="1" fontId="23" fillId="2" borderId="34" xfId="0" applyNumberFormat="1" applyFont="1" applyFill="1" applyBorder="1" applyAlignment="1">
      <alignment horizontal="center" vertical="center"/>
    </xf>
    <xf numFmtId="1" fontId="23" fillId="2" borderId="35" xfId="0" applyNumberFormat="1" applyFont="1" applyFill="1" applyBorder="1" applyAlignment="1">
      <alignment horizontal="center" vertical="center"/>
    </xf>
    <xf numFmtId="1" fontId="23" fillId="2" borderId="36" xfId="0" applyNumberFormat="1" applyFont="1" applyFill="1" applyBorder="1" applyAlignment="1">
      <alignment horizontal="center" vertical="center"/>
    </xf>
    <xf numFmtId="1" fontId="23" fillId="2" borderId="37" xfId="0" applyNumberFormat="1" applyFont="1" applyFill="1" applyBorder="1" applyAlignment="1">
      <alignment horizontal="center" vertical="center"/>
    </xf>
    <xf numFmtId="1" fontId="23" fillId="2" borderId="12" xfId="0" applyNumberFormat="1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7" xfId="0" applyFont="1" applyFill="1" applyBorder="1" applyAlignment="1">
      <alignment horizontal="left" vertical="center"/>
    </xf>
    <xf numFmtId="0" fontId="21" fillId="2" borderId="2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S17" sqref="S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</row>
    <row r="3" spans="1:16" ht="18.600000000000001" thickBot="1" x14ac:dyDescent="0.35">
      <c r="A3" s="61"/>
      <c r="B3" s="46"/>
      <c r="C3" s="94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61"/>
      <c r="M3" s="56" t="s">
        <v>18</v>
      </c>
      <c r="N3" s="57"/>
      <c r="O3" s="57"/>
      <c r="P3" s="57"/>
    </row>
    <row r="4" spans="1:16" ht="18" customHeight="1" x14ac:dyDescent="0.3">
      <c r="A4" s="61"/>
      <c r="B4" s="87">
        <v>1</v>
      </c>
      <c r="C4" s="97" t="s">
        <v>59</v>
      </c>
      <c r="D4" s="82">
        <v>4</v>
      </c>
      <c r="E4" s="72">
        <v>4</v>
      </c>
      <c r="F4" s="72">
        <v>0</v>
      </c>
      <c r="G4" s="72">
        <v>0</v>
      </c>
      <c r="H4" s="82">
        <v>8</v>
      </c>
      <c r="I4" s="72">
        <v>28</v>
      </c>
      <c r="J4" s="73">
        <v>14</v>
      </c>
      <c r="K4" s="61"/>
      <c r="M4" s="4">
        <v>1</v>
      </c>
      <c r="N4" t="s">
        <v>19</v>
      </c>
    </row>
    <row r="5" spans="1:16" ht="18" customHeight="1" x14ac:dyDescent="0.3">
      <c r="A5" s="61"/>
      <c r="B5" s="88">
        <v>2</v>
      </c>
      <c r="C5" s="96" t="s">
        <v>4</v>
      </c>
      <c r="D5" s="83">
        <v>2</v>
      </c>
      <c r="E5" s="74">
        <v>2</v>
      </c>
      <c r="F5" s="74">
        <v>0</v>
      </c>
      <c r="G5" s="74">
        <v>0</v>
      </c>
      <c r="H5" s="83">
        <v>4</v>
      </c>
      <c r="I5" s="74">
        <v>10</v>
      </c>
      <c r="J5" s="75">
        <v>2</v>
      </c>
      <c r="K5" s="61"/>
      <c r="M5" s="4">
        <v>2</v>
      </c>
      <c r="N5" t="s">
        <v>20</v>
      </c>
    </row>
    <row r="6" spans="1:16" ht="18" customHeight="1" x14ac:dyDescent="0.3">
      <c r="A6" s="61"/>
      <c r="B6" s="89">
        <v>3</v>
      </c>
      <c r="C6" s="97" t="s">
        <v>47</v>
      </c>
      <c r="D6" s="84">
        <v>2</v>
      </c>
      <c r="E6" s="76">
        <v>1</v>
      </c>
      <c r="F6" s="76">
        <v>0</v>
      </c>
      <c r="G6" s="76">
        <v>1</v>
      </c>
      <c r="H6" s="84">
        <v>3</v>
      </c>
      <c r="I6" s="76">
        <v>5</v>
      </c>
      <c r="J6" s="77">
        <v>5</v>
      </c>
      <c r="K6" s="61"/>
      <c r="M6" s="4">
        <v>3</v>
      </c>
      <c r="N6" t="s">
        <v>21</v>
      </c>
    </row>
    <row r="7" spans="1:16" ht="18" customHeight="1" thickBot="1" x14ac:dyDescent="0.35">
      <c r="A7" s="61"/>
      <c r="B7" s="90">
        <v>4</v>
      </c>
      <c r="C7" s="98" t="s">
        <v>60</v>
      </c>
      <c r="D7" s="85">
        <v>3</v>
      </c>
      <c r="E7" s="78">
        <v>1</v>
      </c>
      <c r="F7" s="78">
        <v>1</v>
      </c>
      <c r="G7" s="78">
        <v>1</v>
      </c>
      <c r="H7" s="85">
        <v>3</v>
      </c>
      <c r="I7" s="78">
        <v>14</v>
      </c>
      <c r="J7" s="79">
        <v>17</v>
      </c>
      <c r="K7" s="61"/>
      <c r="M7" s="4">
        <v>4</v>
      </c>
      <c r="N7" t="s">
        <v>23</v>
      </c>
    </row>
    <row r="8" spans="1:16" ht="18" customHeight="1" x14ac:dyDescent="0.3">
      <c r="A8" s="61"/>
      <c r="B8" s="87">
        <v>5</v>
      </c>
      <c r="C8" s="96" t="s">
        <v>5</v>
      </c>
      <c r="D8" s="86">
        <v>2</v>
      </c>
      <c r="E8" s="80">
        <v>1</v>
      </c>
      <c r="F8" s="80">
        <v>1</v>
      </c>
      <c r="G8" s="80">
        <v>0</v>
      </c>
      <c r="H8" s="86">
        <v>2</v>
      </c>
      <c r="I8" s="80">
        <v>12</v>
      </c>
      <c r="J8" s="81">
        <v>11</v>
      </c>
      <c r="K8" s="61"/>
      <c r="M8" s="4">
        <v>5</v>
      </c>
      <c r="N8" t="s">
        <v>25</v>
      </c>
    </row>
    <row r="9" spans="1:16" ht="18" customHeight="1" x14ac:dyDescent="0.3">
      <c r="A9" s="61"/>
      <c r="B9" s="88">
        <v>6</v>
      </c>
      <c r="C9" s="97" t="s">
        <v>30</v>
      </c>
      <c r="D9" s="83">
        <v>3</v>
      </c>
      <c r="E9" s="74">
        <v>1</v>
      </c>
      <c r="F9" s="74">
        <v>2</v>
      </c>
      <c r="G9" s="74">
        <v>0</v>
      </c>
      <c r="H9" s="83">
        <v>2</v>
      </c>
      <c r="I9" s="74">
        <v>12</v>
      </c>
      <c r="J9" s="75">
        <v>13</v>
      </c>
      <c r="K9" s="61"/>
    </row>
    <row r="10" spans="1:16" ht="18" customHeight="1" x14ac:dyDescent="0.3">
      <c r="A10" s="61"/>
      <c r="B10" s="88">
        <v>7</v>
      </c>
      <c r="C10" s="97" t="s">
        <v>3</v>
      </c>
      <c r="D10" s="83">
        <v>0</v>
      </c>
      <c r="E10" s="74">
        <v>0</v>
      </c>
      <c r="F10" s="74">
        <v>0</v>
      </c>
      <c r="G10" s="74">
        <v>0</v>
      </c>
      <c r="H10" s="83">
        <v>0</v>
      </c>
      <c r="I10" s="74">
        <v>0</v>
      </c>
      <c r="J10" s="75">
        <v>0</v>
      </c>
      <c r="K10" s="61"/>
      <c r="M10" t="s">
        <v>22</v>
      </c>
    </row>
    <row r="11" spans="1:16" ht="18" customHeight="1" thickBot="1" x14ac:dyDescent="0.35">
      <c r="A11" s="61"/>
      <c r="B11" s="88">
        <v>8</v>
      </c>
      <c r="C11" s="96" t="s">
        <v>39</v>
      </c>
      <c r="D11" s="83">
        <v>2</v>
      </c>
      <c r="E11" s="74">
        <v>0</v>
      </c>
      <c r="F11" s="74">
        <v>2</v>
      </c>
      <c r="G11" s="74">
        <v>0</v>
      </c>
      <c r="H11" s="83">
        <v>0</v>
      </c>
      <c r="I11" s="74">
        <v>8</v>
      </c>
      <c r="J11" s="75">
        <v>19</v>
      </c>
      <c r="K11" s="61"/>
    </row>
    <row r="12" spans="1:16" ht="16.8" thickTop="1" thickBot="1" x14ac:dyDescent="0.35">
      <c r="A12" s="61"/>
      <c r="B12" s="89">
        <v>9</v>
      </c>
      <c r="C12" s="97" t="s">
        <v>28</v>
      </c>
      <c r="D12" s="84">
        <v>2</v>
      </c>
      <c r="E12" s="76">
        <v>0</v>
      </c>
      <c r="F12" s="76">
        <v>2</v>
      </c>
      <c r="G12" s="76">
        <v>0</v>
      </c>
      <c r="H12" s="84">
        <v>0</v>
      </c>
      <c r="I12" s="76">
        <v>7</v>
      </c>
      <c r="J12" s="77">
        <v>15</v>
      </c>
      <c r="K12" s="61"/>
      <c r="M12" s="58" t="s">
        <v>24</v>
      </c>
      <c r="N12" s="58"/>
      <c r="O12" s="58"/>
      <c r="P12" s="5">
        <v>12</v>
      </c>
    </row>
    <row r="13" spans="1:16" ht="24.9" customHeight="1" thickTop="1" x14ac:dyDescent="0.3">
      <c r="B13" s="91" t="s">
        <v>74</v>
      </c>
      <c r="C13" s="95"/>
      <c r="D13" s="92"/>
      <c r="E13" s="92"/>
      <c r="F13" s="92"/>
      <c r="G13" s="92"/>
      <c r="H13" s="92"/>
      <c r="I13" s="92"/>
      <c r="J13" s="93"/>
    </row>
    <row r="14" spans="1:16" x14ac:dyDescent="0.3">
      <c r="G14" s="59" t="s">
        <v>26</v>
      </c>
      <c r="H14" s="59"/>
      <c r="I14" s="7">
        <f>SUM(I4:I12)</f>
        <v>96</v>
      </c>
      <c r="J14" s="7">
        <f>SUM(J4:J12)</f>
        <v>96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7">
    <mergeCell ref="M3:P3"/>
    <mergeCell ref="M12:O12"/>
    <mergeCell ref="G14:H14"/>
    <mergeCell ref="A2:K2"/>
    <mergeCell ref="A3:A12"/>
    <mergeCell ref="K3:K12"/>
    <mergeCell ref="B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3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14" sqref="A14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62" t="s">
        <v>55</v>
      </c>
      <c r="S1" s="63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64" t="s">
        <v>56</v>
      </c>
      <c r="S2" s="65"/>
      <c r="T2" s="41">
        <f>SUM(T3:T7)</f>
        <v>10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3</v>
      </c>
      <c r="U3" s="29">
        <f>IF($T$2&gt;0, T3/$T$2, 0)</f>
        <v>0.3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3</v>
      </c>
      <c r="U4" s="29">
        <f>IF($T$2&gt;0, T4/$T$2, 0)</f>
        <v>0.3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2</v>
      </c>
      <c r="U5" s="29">
        <f>IF($T$2&gt;0, T5/$T$2, 0)</f>
        <v>0.2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>
        <v>6</v>
      </c>
      <c r="E6" s="52" t="s">
        <v>42</v>
      </c>
      <c r="F6" s="16">
        <v>4</v>
      </c>
      <c r="G6" s="18"/>
      <c r="H6" s="13" t="s">
        <v>66</v>
      </c>
      <c r="I6" s="14">
        <v>5</v>
      </c>
      <c r="J6" s="14">
        <v>6</v>
      </c>
      <c r="M6" s="6" t="s">
        <v>41</v>
      </c>
      <c r="N6" s="6">
        <v>6</v>
      </c>
      <c r="P6" s="34">
        <f t="shared" si="0"/>
        <v>2</v>
      </c>
      <c r="Q6" s="25">
        <f t="shared" si="1"/>
        <v>2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>
        <v>7</v>
      </c>
      <c r="E7" s="52" t="s">
        <v>60</v>
      </c>
      <c r="F7" s="16">
        <v>4</v>
      </c>
      <c r="G7" s="18"/>
      <c r="H7" s="13" t="s">
        <v>67</v>
      </c>
      <c r="I7" s="14">
        <v>1</v>
      </c>
      <c r="J7" s="14">
        <v>2</v>
      </c>
      <c r="M7" s="6" t="s">
        <v>36</v>
      </c>
      <c r="N7" s="6">
        <v>7</v>
      </c>
      <c r="P7" s="34">
        <f t="shared" si="0"/>
        <v>3</v>
      </c>
      <c r="Q7" s="25">
        <f t="shared" si="1"/>
        <v>3</v>
      </c>
      <c r="R7" s="31" t="s">
        <v>50</v>
      </c>
      <c r="S7" s="27" t="s">
        <v>51</v>
      </c>
      <c r="T7" s="27">
        <f>COUNTIF($Q$3:$Q$74,"&gt;=5")</f>
        <v>2</v>
      </c>
      <c r="U7" s="32">
        <f>IF($T$2&gt;0, T7/$T$2, 0)</f>
        <v>0.2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>
        <v>2</v>
      </c>
      <c r="E8" s="52" t="s">
        <v>47</v>
      </c>
      <c r="F8" s="16">
        <v>1</v>
      </c>
      <c r="G8" s="18" t="s">
        <v>65</v>
      </c>
      <c r="H8" s="13" t="s">
        <v>68</v>
      </c>
      <c r="I8" s="14">
        <v>7</v>
      </c>
      <c r="J8" s="14">
        <v>9</v>
      </c>
      <c r="M8" s="6" t="s">
        <v>35</v>
      </c>
      <c r="N8" s="6">
        <v>8</v>
      </c>
      <c r="P8" s="34">
        <f t="shared" si="0"/>
        <v>1</v>
      </c>
      <c r="Q8" s="35">
        <f t="shared" si="1"/>
        <v>1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>
        <v>5</v>
      </c>
      <c r="E9" s="52" t="s">
        <v>59</v>
      </c>
      <c r="F9" s="16">
        <v>7</v>
      </c>
      <c r="G9" s="18"/>
      <c r="H9" s="13" t="s">
        <v>64</v>
      </c>
      <c r="I9" s="14">
        <v>1</v>
      </c>
      <c r="J9" s="14">
        <v>5</v>
      </c>
      <c r="M9" s="6" t="s">
        <v>46</v>
      </c>
      <c r="N9" s="6">
        <v>9</v>
      </c>
      <c r="P9" s="34">
        <f t="shared" si="0"/>
        <v>-2</v>
      </c>
      <c r="Q9" s="35">
        <f t="shared" si="1"/>
        <v>2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>
        <v>7</v>
      </c>
      <c r="E10" s="52" t="s">
        <v>28</v>
      </c>
      <c r="F10" s="16">
        <v>6</v>
      </c>
      <c r="G10" s="18"/>
      <c r="H10" s="13" t="s">
        <v>69</v>
      </c>
      <c r="I10" s="14">
        <v>2</v>
      </c>
      <c r="J10" s="14">
        <v>8</v>
      </c>
      <c r="M10" s="6"/>
      <c r="N10" s="6"/>
      <c r="P10" s="34">
        <f t="shared" si="0"/>
        <v>1</v>
      </c>
      <c r="Q10" s="35">
        <f t="shared" si="1"/>
        <v>1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>
        <v>7</v>
      </c>
      <c r="E11" s="52" t="s">
        <v>39</v>
      </c>
      <c r="F11" s="16">
        <v>4</v>
      </c>
      <c r="G11" s="18"/>
      <c r="H11" s="13" t="s">
        <v>70</v>
      </c>
      <c r="I11" s="14">
        <v>6</v>
      </c>
      <c r="J11" s="14">
        <v>4</v>
      </c>
      <c r="N11" s="6">
        <v>9</v>
      </c>
      <c r="P11" s="34">
        <f t="shared" si="0"/>
        <v>3</v>
      </c>
      <c r="Q11" s="35">
        <f t="shared" si="1"/>
        <v>3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>
        <v>3</v>
      </c>
      <c r="E12" s="52" t="s">
        <v>47</v>
      </c>
      <c r="F12" s="16">
        <v>4</v>
      </c>
      <c r="G12" s="18" t="s">
        <v>71</v>
      </c>
      <c r="H12" s="13" t="s">
        <v>72</v>
      </c>
      <c r="I12" s="14">
        <v>2</v>
      </c>
      <c r="J12" s="14">
        <v>9</v>
      </c>
      <c r="P12" s="34">
        <f t="shared" si="0"/>
        <v>-1</v>
      </c>
      <c r="Q12" s="35">
        <f t="shared" si="1"/>
        <v>1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>
        <v>1</v>
      </c>
      <c r="E13" s="52" t="s">
        <v>59</v>
      </c>
      <c r="F13" s="16">
        <v>3</v>
      </c>
      <c r="G13" s="18"/>
      <c r="H13" s="13" t="s">
        <v>64</v>
      </c>
      <c r="I13" s="14">
        <v>6</v>
      </c>
      <c r="J13" s="14">
        <v>5</v>
      </c>
      <c r="P13" s="34">
        <f t="shared" si="0"/>
        <v>-2</v>
      </c>
      <c r="Q13" s="35">
        <f t="shared" si="1"/>
        <v>2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>
        <v>8</v>
      </c>
      <c r="E14" s="52" t="s">
        <v>28</v>
      </c>
      <c r="F14" s="16">
        <v>1</v>
      </c>
      <c r="G14" s="18"/>
      <c r="H14" s="13" t="s">
        <v>73</v>
      </c>
      <c r="I14" s="14">
        <v>7</v>
      </c>
      <c r="J14" s="14">
        <v>8</v>
      </c>
      <c r="P14" s="34">
        <f t="shared" si="0"/>
        <v>7</v>
      </c>
      <c r="Q14" s="35">
        <f t="shared" si="1"/>
        <v>7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69"/>
      <c r="B75" s="70"/>
      <c r="C75" s="70"/>
      <c r="D75" s="70"/>
      <c r="E75" s="70"/>
      <c r="F75" s="70"/>
      <c r="G75" s="71"/>
      <c r="H75" s="13"/>
      <c r="I75" s="14"/>
      <c r="J75" s="14"/>
      <c r="W75" s="25"/>
    </row>
    <row r="76" spans="1:23" ht="15" thickBot="1" x14ac:dyDescent="0.35">
      <c r="A76" s="66" t="s">
        <v>61</v>
      </c>
      <c r="B76" s="67"/>
      <c r="C76" s="67"/>
      <c r="D76" s="67"/>
      <c r="E76" s="67"/>
      <c r="F76" s="67"/>
      <c r="G76" s="68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96</v>
      </c>
    </row>
    <row r="113" spans="4:6" x14ac:dyDescent="0.3">
      <c r="D113" s="1">
        <f>SUM(D3:D111)</f>
        <v>50</v>
      </c>
      <c r="F113" s="1">
        <f>SUM(F3:F111)</f>
        <v>46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2021-10-18T15:04:37Z</dcterms:modified>
</cp:coreProperties>
</file>