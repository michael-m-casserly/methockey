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422" documentId="8_{970098D5-2AA6-4EE8-9507-3C4E4A614472}" xr6:coauthVersionLast="47" xr6:coauthVersionMax="47" xr10:uidLastSave="{C8316526-8B92-4739-8105-DC082F2454F8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4" i="1"/>
  <c r="P57" i="1"/>
  <c r="P56" i="1"/>
  <c r="P55" i="1"/>
  <c r="P63" i="1"/>
  <c r="Q63" i="1" s="1"/>
  <c r="P73" i="1"/>
  <c r="Q73" i="1" s="1"/>
  <c r="P72" i="1"/>
  <c r="Q72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4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<sst xmlns="http://schemas.openxmlformats.org/spreadsheetml/2006/main" count="390" uniqueCount="90">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</sst>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6" sqref="R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14</v>
      </c>
      <c r="E4" s="33">
        <v>14</v>
      </c>
      <c r="F4" s="33">
        <v>0</v>
      </c>
      <c r="G4" s="33">
        <v>0</v>
      </c>
      <c r="H4" s="86">
        <v>28</v>
      </c>
      <c r="I4" s="33">
        <v>101</v>
      </c>
      <c r="J4" s="87">
        <v>36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4</v>
      </c>
      <c r="D5" s="33">
        <v>13</v>
      </c>
      <c r="E5" s="33">
        <v>8</v>
      </c>
      <c r="F5" s="33">
        <v>3</v>
      </c>
      <c r="G5" s="33">
        <v>2</v>
      </c>
      <c r="H5" s="86">
        <v>18</v>
      </c>
      <c r="I5" s="33">
        <v>53</v>
      </c>
      <c r="J5" s="87">
        <v>38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5</v>
      </c>
      <c r="D6" s="33">
        <v>12</v>
      </c>
      <c r="E6" s="33">
        <v>8</v>
      </c>
      <c r="F6" s="33">
        <v>4</v>
      </c>
      <c r="G6" s="33">
        <v>0</v>
      </c>
      <c r="H6" s="86">
        <v>16</v>
      </c>
      <c r="I6" s="33">
        <v>72</v>
      </c>
      <c r="J6" s="87">
        <v>52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14</v>
      </c>
      <c r="E7" s="33">
        <v>8</v>
      </c>
      <c r="F7" s="33">
        <v>6</v>
      </c>
      <c r="G7" s="33">
        <v>0</v>
      </c>
      <c r="H7" s="86">
        <v>16</v>
      </c>
      <c r="I7" s="33">
        <v>77</v>
      </c>
      <c r="J7" s="87">
        <v>56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13</v>
      </c>
      <c r="E8" s="33">
        <v>6</v>
      </c>
      <c r="F8" s="33">
        <v>5</v>
      </c>
      <c r="G8" s="33">
        <v>2</v>
      </c>
      <c r="H8" s="86">
        <v>14</v>
      </c>
      <c r="I8" s="33">
        <v>66</v>
      </c>
      <c r="J8" s="87">
        <v>63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11</v>
      </c>
      <c r="E9" s="33">
        <v>4</v>
      </c>
      <c r="F9" s="33">
        <v>5</v>
      </c>
      <c r="G9" s="33">
        <v>2</v>
      </c>
      <c r="H9" s="86">
        <v>10</v>
      </c>
      <c r="I9" s="33">
        <v>44</v>
      </c>
      <c r="J9" s="87">
        <v>59</v>
      </c>
      <c r="K9" s="93"/>
    </row>
    <row r="10" spans="1:16" ht="18" customHeight="1" x14ac:dyDescent="0.3">
      <c r="A10" s="93"/>
      <c r="B10" s="81">
        <v>7</v>
      </c>
      <c r="C10" s="85" t="s">
        <v>43</v>
      </c>
      <c r="D10" s="33">
        <v>14</v>
      </c>
      <c r="E10" s="33">
        <v>4</v>
      </c>
      <c r="F10" s="33">
        <v>9</v>
      </c>
      <c r="G10" s="33">
        <v>1</v>
      </c>
      <c r="H10" s="86">
        <v>9</v>
      </c>
      <c r="I10" s="33">
        <v>40</v>
      </c>
      <c r="J10" s="87">
        <v>62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3</v>
      </c>
      <c r="D11" s="33">
        <v>11</v>
      </c>
      <c r="E11" s="33">
        <v>3</v>
      </c>
      <c r="F11" s="33">
        <v>7</v>
      </c>
      <c r="G11" s="33">
        <v>1</v>
      </c>
      <c r="H11" s="86">
        <v>7</v>
      </c>
      <c r="I11" s="33">
        <v>34</v>
      </c>
      <c r="J11" s="87">
        <v>60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12</v>
      </c>
      <c r="E12" s="33">
        <v>2</v>
      </c>
      <c r="F12" s="33">
        <v>10</v>
      </c>
      <c r="G12" s="33">
        <v>0</v>
      </c>
      <c r="H12" s="86">
        <v>4</v>
      </c>
      <c r="I12" s="33">
        <v>34</v>
      </c>
      <c r="J12" s="87">
        <v>95</v>
      </c>
      <c r="K12" s="93"/>
      <c r="M12" s="90" t="s">
        <v>20</v>
      </c>
      <c r="N12" s="90"/>
      <c r="O12" s="90"/>
      <c r="P12" s="5">
        <v>65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44600.487986111111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521</v>
      </c>
      <c r="J15" s="7">
        <f>SUM(J4:J12)</f>
        <v>521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topLeftCell="A37" zoomScaleNormal="100" workbookViewId="0">
      <selection activeCell="M69" sqref="M69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57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15</v>
      </c>
      <c r="U3" s="63">
        <f>IF($T$2&gt;0, T3/$T$2, 0)</f>
        <v>0.26315789473684209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9</v>
      </c>
      <c r="U4" s="63">
        <f>IF($T$2&gt;0, T4/$T$2, 0)</f>
        <v>0.15789473684210525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10</v>
      </c>
      <c r="U5" s="63">
        <f>IF($T$2&gt;0, T5/$T$2, 0)</f>
        <v>0.17543859649122806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8</v>
      </c>
      <c r="U6" s="63">
        <f>IF($T$2&gt;0, T6/$T$2, 0)</f>
        <v>0.14035087719298245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15</v>
      </c>
      <c r="U7" s="67">
        <f>IF($T$2&gt;0, T7/$T$2, 0)</f>
        <v>0.26315789473684209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88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82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74" si="9">D55-F55</f>
        <v>4</v>
      </c>
      <c r="Q55" s="68">
        <f t="shared" ref="Q55:Q74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/>
      <c r="E60" s="52" t="s">
        <v>5</v>
      </c>
      <c r="F60" s="53"/>
      <c r="G60" s="54"/>
      <c r="H60" s="55"/>
      <c r="I60" s="56"/>
      <c r="J60" s="56"/>
      <c r="P60" s="60">
        <f t="shared" si="9"/>
        <v>0</v>
      </c>
      <c r="Q60" s="68">
        <f t="shared" si="10"/>
        <v>0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/>
      <c r="E61" s="52" t="s">
        <v>3</v>
      </c>
      <c r="F61" s="53"/>
      <c r="G61" s="54"/>
      <c r="H61" s="55"/>
      <c r="I61" s="56"/>
      <c r="J61" s="56"/>
      <c r="P61" s="60">
        <f t="shared" si="9"/>
        <v>0</v>
      </c>
      <c r="Q61" s="68">
        <f t="shared" si="10"/>
        <v>0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/>
      <c r="E62" s="52" t="s">
        <v>5</v>
      </c>
      <c r="F62" s="53"/>
      <c r="G62" s="54"/>
      <c r="H62" s="55"/>
      <c r="I62" s="56"/>
      <c r="J62" s="56"/>
      <c r="P62" s="60">
        <f t="shared" si="9"/>
        <v>0</v>
      </c>
      <c r="Q62" s="68">
        <f t="shared" si="10"/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/>
      <c r="E63" s="52" t="s">
        <v>56</v>
      </c>
      <c r="F63" s="53"/>
      <c r="G63" s="54"/>
      <c r="H63" s="55"/>
      <c r="I63" s="56"/>
      <c r="J63" s="56"/>
      <c r="P63" s="60">
        <f>D63-F63</f>
        <v>0</v>
      </c>
      <c r="Q63" s="68">
        <f>ABS(P63)</f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/>
      <c r="E64" s="52" t="s">
        <v>4</v>
      </c>
      <c r="F64" s="53"/>
      <c r="G64" s="54"/>
      <c r="H64" s="55"/>
      <c r="I64" s="56"/>
      <c r="J64" s="56"/>
      <c r="P64" s="60">
        <f>D64-F64</f>
        <v>0</v>
      </c>
      <c r="Q64" s="68">
        <f>ABS(P64)</f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/>
      <c r="E65" s="52" t="s">
        <v>56</v>
      </c>
      <c r="F65" s="53"/>
      <c r="G65" s="54"/>
      <c r="H65" s="55"/>
      <c r="I65" s="56"/>
      <c r="J65" s="56"/>
      <c r="P65" s="60">
        <f>D65-F65</f>
        <v>0</v>
      </c>
      <c r="Q65" s="68">
        <f>ABS(P65)</f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/>
      <c r="E66" s="52" t="s">
        <v>35</v>
      </c>
      <c r="F66" s="53"/>
      <c r="G66" s="54"/>
      <c r="H66" s="55"/>
      <c r="I66" s="56"/>
      <c r="J66" s="56"/>
      <c r="P66" s="60">
        <f>D66-F66</f>
        <v>0</v>
      </c>
      <c r="Q66" s="68">
        <f>ABS(P66)</f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/>
      <c r="E67" s="52" t="s">
        <v>38</v>
      </c>
      <c r="F67" s="53"/>
      <c r="G67" s="54"/>
      <c r="H67" s="55"/>
      <c r="I67" s="56"/>
      <c r="J67" s="56"/>
      <c r="P67" s="60">
        <f>D67-F67</f>
        <v>0</v>
      </c>
      <c r="Q67" s="68">
        <f>ABS(P67)</f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/>
      <c r="E68" s="52" t="s">
        <v>56</v>
      </c>
      <c r="F68" s="53"/>
      <c r="G68" s="54"/>
      <c r="H68" s="55"/>
      <c r="I68" s="56"/>
      <c r="J68" s="56"/>
      <c r="P68" s="60">
        <f>D68-F68</f>
        <v>0</v>
      </c>
      <c r="Q68" s="68">
        <f>ABS(P68)</f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/>
      <c r="E69" s="52" t="s">
        <v>35</v>
      </c>
      <c r="F69" s="53"/>
      <c r="G69" s="54"/>
      <c r="H69" s="55"/>
      <c r="I69" s="56"/>
      <c r="J69" s="56"/>
      <c r="P69" s="60">
        <f>D69-F69</f>
        <v>0</v>
      </c>
      <c r="Q69" s="68">
        <f>ABS(P69)</f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/>
      <c r="E70" s="52" t="s">
        <v>24</v>
      </c>
      <c r="F70" s="53"/>
      <c r="G70" s="54"/>
      <c r="H70" s="55"/>
      <c r="I70" s="56"/>
      <c r="J70" s="56"/>
      <c r="P70" s="60">
        <f>D70-F70</f>
        <v>0</v>
      </c>
      <c r="Q70" s="68">
        <f>ABS(P70)</f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/>
      <c r="E71" s="52" t="s">
        <v>3</v>
      </c>
      <c r="F71" s="53"/>
      <c r="G71" s="54"/>
      <c r="H71" s="55"/>
      <c r="I71" s="56"/>
      <c r="J71" s="56"/>
      <c r="P71" s="60">
        <f>D71-F71</f>
        <v>0</v>
      </c>
      <c r="Q71" s="68">
        <f>ABS(P71)</f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58</v>
      </c>
      <c r="B72" s="51" t="s">
        <v>89</v>
      </c>
      <c r="C72" s="52" t="s">
        <v>3</v>
      </c>
      <c r="D72" s="53"/>
      <c r="E72" s="52" t="s">
        <v>43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59</v>
      </c>
      <c r="B73" s="51" t="s">
        <v>89</v>
      </c>
      <c r="C73" s="52" t="s">
        <v>24</v>
      </c>
      <c r="D73" s="53"/>
      <c r="E73" s="52" t="s">
        <v>55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64</v>
      </c>
      <c r="B74" s="72" t="s">
        <v>89</v>
      </c>
      <c r="C74" s="73" t="s">
        <v>56</v>
      </c>
      <c r="D74" s="74"/>
      <c r="E74" s="73" t="s">
        <v>5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521</v>
      </c>
    </row>
    <row r="113" spans="4:6" x14ac:dyDescent="0.3">
      <c r="D113" s="1">
        <f>SUM(D3:D111)</f>
        <v>263</v>
      </c>
      <c r="F113" s="1">
        <f>SUM(F3:F111)</f>
        <v>258</v>
      </c>
    </row>
  </sheetData>
  <sortState xmlns:xlrd2="http://schemas.microsoft.com/office/spreadsheetml/2017/richdata2" ref="A63:R74">
    <sortCondition ref="B63:B74"/>
    <sortCondition ref="A63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2022-02-08T16:43:24Z</dcterms:modified>
</cp:coreProperties>
</file>