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078" documentId="8_{970098D5-2AA6-4EE8-9507-3C4E4A614472}" xr6:coauthVersionLast="47" xr6:coauthVersionMax="47" xr10:uidLastSave="{5E4C6546-7CFE-45A0-909F-E8845D0B3E69}"/>
  <bookViews>
    <workbookView xWindow="28680" yWindow="-120" windowWidth="29040" windowHeight="17520" activeTab="1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3" i="1" l="1"/>
  <c r="P72" i="1"/>
  <c r="P71" i="1"/>
  <c r="P70" i="1"/>
  <c r="P69" i="1"/>
  <c r="P68" i="1"/>
  <c r="P67" i="1"/>
  <c r="P66" i="1"/>
  <c r="P63" i="1"/>
  <c r="P61" i="1"/>
  <c r="P60" i="1"/>
  <c r="P59" i="1"/>
  <c r="P58" i="1"/>
  <c r="P57" i="1"/>
  <c r="Q57" i="1" s="1"/>
  <c r="P56" i="1"/>
  <c r="Q56" i="1" s="1"/>
  <c r="P55" i="1"/>
  <c r="Q55" i="1" s="1"/>
  <c r="P54" i="1"/>
  <c r="Q54" i="1" s="1"/>
  <c r="P64" i="1"/>
  <c r="Q64" i="1" s="1"/>
  <c r="P62" i="1"/>
  <c r="Q62" i="1" s="1"/>
  <c r="P74" i="1"/>
  <c r="P53" i="1"/>
  <c r="Q53" i="1" s="1"/>
  <c r="P65" i="1"/>
  <c r="Q65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4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1" i="1"/>
  <c r="Q73" i="1" l="1"/>
  <c r="Q72" i="1"/>
  <c r="Q70" i="1"/>
  <c r="Q69" i="1"/>
  <c r="Q68" i="1"/>
  <c r="Q67" i="1"/>
  <c r="Q66" i="1"/>
  <c r="Q63" i="1"/>
  <c r="Q58" i="1"/>
  <c r="Q61" i="1"/>
  <c r="Q60" i="1"/>
  <c r="Q59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<sst xmlns="http://schemas.openxmlformats.org/spreadsheetml/2006/main" count="382" uniqueCount="89">
  <si>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</si>
  <si>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</si>
  <si>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</si>
  <si>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</si>
  <si>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</si>
  <si>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</si>
  <si>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</si>
  <si>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</si>
  <si>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</si>
  <si>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</si>
  <si>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</si>
  <si>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</si>
  <si>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</si>
  <si>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</si>
  <si>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</si>
  <si>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</si>
  <si>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</si>
  <si>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</si>
  <si>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</si>
  <si>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</si>
  <si>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</si>
  <si>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</si>
  <si>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</si>
  <si>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</si>
  <si>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</si>
  <si>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</si>
  <si>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</si>
  <si>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</si>
  <si>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</si>
  <si>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</si>
  <si>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</si>
  <si>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</si>
  <si>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</si>
  <si>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</si>
  <si>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</si>
  <si>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</si>
  <si>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</si>
  <si>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</si>
  <si>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</si>
  <si>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</si>
  <si>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</si>
  <si>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</si>
  <si>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</si>
  <si>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</si>
  <si>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</si>
  <si>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</si>
  <si>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</si>
  <si>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</si>
  <si>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</si>
  <si>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</si>
  <si>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</si>
  <si>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</si>
  <si>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</si>
  <si>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</si>
  <si>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</si>
  <si>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</si>
  <si>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</si>
  <si>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</si>
  <si>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</si>
  <si>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</si>
  <si>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</si>
  <si>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</si>
  <si>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</si>
  <si>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</si>
  <si>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</si>
  <si>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</si>
  <si>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</si>
  <si>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</si>
  <si>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</si>
  <si>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</si>
  <si>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</si>
  <si>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</si>
  <si>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</si>
  <si>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</si>
  <si>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</si>
  <si>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</si>
  <si>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</si>
  <si>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</si>
  <si>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</si>
  <si>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</si>
  <si>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</si>
  <si>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</si>
  <si>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</si>
  <si>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</si>
  <si>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</si>
  <si>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</si>
  <si>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</si>
  <si>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</si>
  <si>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Columbia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</si>
</sst>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4" xfId="2" applyFont="1" applyBorder="1" applyAlignment="1">
      <alignment horizontal="center"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S17" sqref="S17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44"/>
      <c r="C3" s="82" t="s">
        <v>6</v>
      </c>
      <c r="D3" s="83" t="s">
        <v>41</v>
      </c>
      <c r="E3" s="83" t="s">
        <v>39</v>
      </c>
      <c r="F3" s="83" t="s">
        <v>40</v>
      </c>
      <c r="G3" s="83" t="s">
        <v>83</v>
      </c>
      <c r="H3" s="83" t="s">
        <v>84</v>
      </c>
      <c r="I3" s="83" t="s">
        <v>7</v>
      </c>
      <c r="J3" s="84" t="s">
        <v>8</v>
      </c>
      <c r="K3" s="93"/>
      <c r="M3" s="88" t="s">
        <v>14</v>
      </c>
      <c r="N3" s="89"/>
      <c r="O3" s="89"/>
      <c r="P3" s="89"/>
    </row>
    <row r="4" spans="1:16" ht="18" customHeight="1" x14ac:dyDescent="0.3">
      <c r="A4" s="93"/>
      <c r="B4" s="81">
        <v>1</v>
      </c>
      <c r="C4" s="85" t="s">
        <v>55</v>
      </c>
      <c r="D4" s="33">
        <v>12</v>
      </c>
      <c r="E4" s="33">
        <v>12</v>
      </c>
      <c r="F4" s="33">
        <v>0</v>
      </c>
      <c r="G4" s="33">
        <v>0</v>
      </c>
      <c r="H4" s="86">
        <v>24</v>
      </c>
      <c r="I4" s="33">
        <v>92</v>
      </c>
      <c r="J4" s="87">
        <v>33</v>
      </c>
      <c r="K4" s="93"/>
      <c r="M4" s="4">
        <v>1</v>
      </c>
      <c r="N4" t="s">
        <v>15</v>
      </c>
    </row>
    <row r="5" spans="1:16" ht="18" customHeight="1" x14ac:dyDescent="0.3">
      <c r="A5" s="93"/>
      <c r="B5" s="81">
        <v>2</v>
      </c>
      <c r="C5" s="85" t="s">
        <v>4</v>
      </c>
      <c r="D5" s="33">
        <v>12</v>
      </c>
      <c r="E5" s="33">
        <v>8</v>
      </c>
      <c r="F5" s="33">
        <v>2</v>
      </c>
      <c r="G5" s="33">
        <v>2</v>
      </c>
      <c r="H5" s="86">
        <v>18</v>
      </c>
      <c r="I5" s="33">
        <v>53</v>
      </c>
      <c r="J5" s="87">
        <v>34</v>
      </c>
      <c r="K5" s="93"/>
      <c r="M5" s="4">
        <v>2</v>
      </c>
      <c r="N5" t="s">
        <v>16</v>
      </c>
    </row>
    <row r="6" spans="1:16" ht="18" customHeight="1" x14ac:dyDescent="0.3">
      <c r="A6" s="93"/>
      <c r="B6" s="81">
        <v>3</v>
      </c>
      <c r="C6" s="85" t="s">
        <v>5</v>
      </c>
      <c r="D6" s="33">
        <v>12</v>
      </c>
      <c r="E6" s="33">
        <v>8</v>
      </c>
      <c r="F6" s="33">
        <v>4</v>
      </c>
      <c r="G6" s="33">
        <v>0</v>
      </c>
      <c r="H6" s="86">
        <v>16</v>
      </c>
      <c r="I6" s="33">
        <v>72</v>
      </c>
      <c r="J6" s="87">
        <v>52</v>
      </c>
      <c r="K6" s="93"/>
      <c r="M6" s="4">
        <v>3</v>
      </c>
      <c r="N6" t="s">
        <v>17</v>
      </c>
    </row>
    <row r="7" spans="1:16" ht="18" customHeight="1" x14ac:dyDescent="0.3">
      <c r="A7" s="93"/>
      <c r="B7" s="81">
        <v>4</v>
      </c>
      <c r="C7" s="85" t="s">
        <v>26</v>
      </c>
      <c r="D7" s="33">
        <v>12</v>
      </c>
      <c r="E7" s="33">
        <v>7</v>
      </c>
      <c r="F7" s="33">
        <v>5</v>
      </c>
      <c r="G7" s="33">
        <v>0</v>
      </c>
      <c r="H7" s="86">
        <v>14</v>
      </c>
      <c r="I7" s="33">
        <v>65</v>
      </c>
      <c r="J7" s="87">
        <v>47</v>
      </c>
      <c r="K7" s="93"/>
      <c r="M7" s="4">
        <v>4</v>
      </c>
      <c r="N7" t="s">
        <v>19</v>
      </c>
    </row>
    <row r="8" spans="1:16" ht="18" customHeight="1" x14ac:dyDescent="0.3">
      <c r="A8" s="93"/>
      <c r="B8" s="81">
        <v>5</v>
      </c>
      <c r="C8" s="85" t="s">
        <v>35</v>
      </c>
      <c r="D8" s="33">
        <v>11</v>
      </c>
      <c r="E8" s="33">
        <v>4</v>
      </c>
      <c r="F8" s="33">
        <v>5</v>
      </c>
      <c r="G8" s="33">
        <v>2</v>
      </c>
      <c r="H8" s="86">
        <v>10</v>
      </c>
      <c r="I8" s="33">
        <v>53</v>
      </c>
      <c r="J8" s="87">
        <v>57</v>
      </c>
      <c r="K8" s="93"/>
      <c r="M8" s="4">
        <v>5</v>
      </c>
      <c r="N8" t="s">
        <v>21</v>
      </c>
    </row>
    <row r="9" spans="1:16" ht="18" customHeight="1" x14ac:dyDescent="0.3">
      <c r="A9" s="93"/>
      <c r="B9" s="81">
        <v>6</v>
      </c>
      <c r="C9" s="85" t="s">
        <v>56</v>
      </c>
      <c r="D9" s="33">
        <v>11</v>
      </c>
      <c r="E9" s="33">
        <v>4</v>
      </c>
      <c r="F9" s="33">
        <v>5</v>
      </c>
      <c r="G9" s="33">
        <v>2</v>
      </c>
      <c r="H9" s="86">
        <v>10</v>
      </c>
      <c r="I9" s="33">
        <v>44</v>
      </c>
      <c r="J9" s="87">
        <v>59</v>
      </c>
      <c r="K9" s="93"/>
    </row>
    <row r="10" spans="1:16" ht="18" customHeight="1" x14ac:dyDescent="0.3">
      <c r="A10" s="93"/>
      <c r="B10" s="81">
        <v>7</v>
      </c>
      <c r="C10" s="85" t="s">
        <v>43</v>
      </c>
      <c r="D10" s="33">
        <v>13</v>
      </c>
      <c r="E10" s="33">
        <v>4</v>
      </c>
      <c r="F10" s="33">
        <v>8</v>
      </c>
      <c r="G10" s="33">
        <v>1</v>
      </c>
      <c r="H10" s="86">
        <v>9</v>
      </c>
      <c r="I10" s="33">
        <v>37</v>
      </c>
      <c r="J10" s="87">
        <v>55</v>
      </c>
      <c r="K10" s="93"/>
      <c r="M10" t="s">
        <v>18</v>
      </c>
    </row>
    <row r="11" spans="1:16" ht="18" customHeight="1" thickBot="1" x14ac:dyDescent="0.35">
      <c r="A11" s="93"/>
      <c r="B11" s="81">
        <v>8</v>
      </c>
      <c r="C11" s="85" t="s">
        <v>3</v>
      </c>
      <c r="D11" s="33">
        <v>10</v>
      </c>
      <c r="E11" s="33">
        <v>3</v>
      </c>
      <c r="F11" s="33">
        <v>6</v>
      </c>
      <c r="G11" s="33">
        <v>1</v>
      </c>
      <c r="H11" s="86">
        <v>7</v>
      </c>
      <c r="I11" s="33">
        <v>31</v>
      </c>
      <c r="J11" s="87">
        <v>55</v>
      </c>
      <c r="K11" s="93"/>
    </row>
    <row r="12" spans="1:16" ht="16.8" thickTop="1" thickBot="1" x14ac:dyDescent="0.35">
      <c r="A12" s="93"/>
      <c r="B12" s="81">
        <v>9</v>
      </c>
      <c r="C12" s="85" t="s">
        <v>24</v>
      </c>
      <c r="D12" s="33">
        <v>11</v>
      </c>
      <c r="E12" s="33">
        <v>2</v>
      </c>
      <c r="F12" s="33">
        <v>9</v>
      </c>
      <c r="G12" s="33">
        <v>0</v>
      </c>
      <c r="H12" s="86">
        <v>4</v>
      </c>
      <c r="I12" s="33">
        <v>31</v>
      </c>
      <c r="J12" s="87">
        <v>86</v>
      </c>
      <c r="K12" s="93"/>
      <c r="M12" s="90" t="s">
        <v>20</v>
      </c>
      <c r="N12" s="90"/>
      <c r="O12" s="90"/>
      <c r="P12" s="5">
        <v>57</v>
      </c>
    </row>
    <row r="13" spans="1:16" ht="16.2" thickTop="1" x14ac:dyDescent="0.3">
      <c r="A13" s="34"/>
      <c r="B13" s="80"/>
      <c r="C13" s="96" t="s">
        <v>69</v>
      </c>
      <c r="D13" s="97"/>
      <c r="E13" s="97"/>
      <c r="F13" s="97"/>
      <c r="G13" s="94" cm="1">
        <f t="array" aca="1" ref="G13" ca="1">LastModified()</f>
        <v>44594.52238425926</v>
      </c>
      <c r="H13" s="94"/>
      <c r="I13" s="94"/>
      <c r="J13" s="95"/>
      <c r="K13" s="34"/>
      <c r="M13" s="48"/>
      <c r="N13" s="48"/>
      <c r="O13" s="48"/>
      <c r="P13" s="22"/>
    </row>
    <row r="14" spans="1:16" ht="31.8" customHeight="1" thickBot="1" x14ac:dyDescent="0.35">
      <c r="B14" s="49"/>
      <c r="C14" s="98" t="s">
        <v>80</v>
      </c>
      <c r="D14" s="99"/>
      <c r="E14" s="99"/>
      <c r="F14" s="99"/>
      <c r="G14" s="99"/>
      <c r="H14" s="99"/>
      <c r="I14" s="99"/>
      <c r="J14" s="100"/>
    </row>
    <row r="15" spans="1:16" x14ac:dyDescent="0.3">
      <c r="G15" s="91" t="s">
        <v>22</v>
      </c>
      <c r="H15" s="91"/>
      <c r="I15" s="7">
        <f>SUM(I4:I12)</f>
        <v>478</v>
      </c>
      <c r="J15" s="7">
        <f>SUM(J4:J12)</f>
        <v>478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topLeftCell="A39" zoomScaleNormal="100" workbookViewId="0">
      <selection activeCell="N75" sqref="N75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1" t="s">
        <v>51</v>
      </c>
      <c r="S1" s="102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3" t="s">
        <v>52</v>
      </c>
      <c r="S2" s="104"/>
      <c r="T2" s="27">
        <f>SUM(T3:T7)</f>
        <v>52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15</v>
      </c>
      <c r="U3" s="63">
        <f>IF($T$2&gt;0, T3/$T$2, 0)</f>
        <v>0.28846153846153844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14" si="1">ABS(P4)</f>
        <v>2</v>
      </c>
      <c r="R4" s="62">
        <v>2</v>
      </c>
      <c r="S4" s="61" t="s">
        <v>47</v>
      </c>
      <c r="T4" s="61">
        <f>COUNTIF($Q$3:$Q$74,R4)</f>
        <v>8</v>
      </c>
      <c r="U4" s="63">
        <f>IF($T$2&gt;0, T4/$T$2, 0)</f>
        <v>0.15384615384615385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9</v>
      </c>
      <c r="U5" s="63">
        <f>IF($T$2&gt;0, T5/$T$2, 0)</f>
        <v>0.17307692307692307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6</v>
      </c>
      <c r="U6" s="63">
        <f>IF($T$2&gt;0, T6/$T$2, 0)</f>
        <v>0.11538461538461539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14</v>
      </c>
      <c r="U7" s="67">
        <f>IF($T$2&gt;0, T7/$T$2, 0)</f>
        <v>0.26923076923076922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52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81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81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82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85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86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86</v>
      </c>
      <c r="I49" s="56">
        <v>8</v>
      </c>
      <c r="J49" s="56">
        <v>3</v>
      </c>
      <c r="P49" s="60">
        <f t="shared" si="4"/>
        <v>-2</v>
      </c>
      <c r="Q49" s="68">
        <f t="shared" ref="Q49:Q52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87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53</v>
      </c>
      <c r="B53" s="51">
        <v>44591</v>
      </c>
      <c r="C53" s="52" t="s">
        <v>5</v>
      </c>
      <c r="D53" s="53">
        <v>7</v>
      </c>
      <c r="E53" s="52" t="s">
        <v>35</v>
      </c>
      <c r="F53" s="53">
        <v>6</v>
      </c>
      <c r="G53" s="54" t="s">
        <v>66</v>
      </c>
      <c r="H53" s="55" t="s">
        <v>88</v>
      </c>
      <c r="I53" s="56">
        <v>1</v>
      </c>
      <c r="J53" s="56">
        <v>4</v>
      </c>
      <c r="P53" s="60">
        <f t="shared" ref="P53:P74" si="7">D53-F53</f>
        <v>1</v>
      </c>
      <c r="Q53" s="68">
        <f t="shared" ref="Q53:Q74" si="8">ABS(P53)</f>
        <v>1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57</v>
      </c>
      <c r="B54" s="51">
        <v>44591</v>
      </c>
      <c r="C54" s="52" t="s">
        <v>38</v>
      </c>
      <c r="D54" s="53">
        <v>2</v>
      </c>
      <c r="E54" s="52" t="s">
        <v>43</v>
      </c>
      <c r="F54" s="53">
        <v>5</v>
      </c>
      <c r="G54" s="54"/>
      <c r="H54" s="55" t="s">
        <v>82</v>
      </c>
      <c r="I54" s="56">
        <v>6</v>
      </c>
      <c r="J54" s="56">
        <v>9</v>
      </c>
      <c r="P54" s="60">
        <f t="shared" si="7"/>
        <v>-3</v>
      </c>
      <c r="Q54" s="68">
        <f t="shared" si="8"/>
        <v>3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58</v>
      </c>
      <c r="B55" s="51">
        <v>44596</v>
      </c>
      <c r="C55" s="52" t="s">
        <v>3</v>
      </c>
      <c r="D55" s="53"/>
      <c r="E55" s="52" t="s">
        <v>43</v>
      </c>
      <c r="F55" s="53"/>
      <c r="G55" s="54"/>
      <c r="H55" s="55"/>
      <c r="I55" s="56"/>
      <c r="J55" s="56"/>
      <c r="P55" s="60">
        <f t="shared" si="7"/>
        <v>0</v>
      </c>
      <c r="Q55" s="68">
        <f t="shared" si="8"/>
        <v>0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59</v>
      </c>
      <c r="B56" s="51">
        <v>44596</v>
      </c>
      <c r="C56" s="52" t="s">
        <v>24</v>
      </c>
      <c r="D56" s="53"/>
      <c r="E56" s="52" t="s">
        <v>55</v>
      </c>
      <c r="F56" s="53"/>
      <c r="G56" s="54"/>
      <c r="H56" s="55"/>
      <c r="I56" s="56"/>
      <c r="J56" s="56"/>
      <c r="P56" s="60">
        <f t="shared" si="7"/>
        <v>0</v>
      </c>
      <c r="Q56" s="68">
        <f t="shared" si="8"/>
        <v>0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63</v>
      </c>
      <c r="B57" s="51">
        <v>44596</v>
      </c>
      <c r="C57" s="52" t="s">
        <v>4</v>
      </c>
      <c r="D57" s="53"/>
      <c r="E57" s="52" t="s">
        <v>56</v>
      </c>
      <c r="F57" s="53"/>
      <c r="G57" s="54"/>
      <c r="H57" s="55"/>
      <c r="I57" s="56"/>
      <c r="J57" s="56"/>
      <c r="P57" s="60">
        <f t="shared" si="7"/>
        <v>0</v>
      </c>
      <c r="Q57" s="68">
        <f t="shared" si="8"/>
        <v>0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60</v>
      </c>
      <c r="B58" s="51">
        <v>44597</v>
      </c>
      <c r="C58" s="52" t="s">
        <v>35</v>
      </c>
      <c r="D58" s="53"/>
      <c r="E58" s="52" t="s">
        <v>43</v>
      </c>
      <c r="F58" s="53"/>
      <c r="G58" s="54"/>
      <c r="H58" s="55"/>
      <c r="I58" s="56"/>
      <c r="J58" s="56"/>
      <c r="P58" s="60">
        <f t="shared" si="7"/>
        <v>0</v>
      </c>
      <c r="Q58" s="68">
        <f t="shared" si="8"/>
        <v>0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61</v>
      </c>
      <c r="B59" s="51">
        <v>44597</v>
      </c>
      <c r="C59" s="52" t="s">
        <v>3</v>
      </c>
      <c r="D59" s="53"/>
      <c r="E59" s="52" t="s">
        <v>55</v>
      </c>
      <c r="F59" s="53"/>
      <c r="G59" s="54"/>
      <c r="H59" s="55"/>
      <c r="I59" s="56"/>
      <c r="J59" s="56"/>
      <c r="P59" s="60">
        <f t="shared" si="7"/>
        <v>0</v>
      </c>
      <c r="Q59" s="68">
        <f t="shared" si="8"/>
        <v>0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62</v>
      </c>
      <c r="B60" s="51">
        <v>44597</v>
      </c>
      <c r="C60" s="52" t="s">
        <v>24</v>
      </c>
      <c r="D60" s="53"/>
      <c r="E60" s="52" t="s">
        <v>38</v>
      </c>
      <c r="F60" s="53"/>
      <c r="G60" s="54"/>
      <c r="H60" s="55"/>
      <c r="I60" s="56"/>
      <c r="J60" s="56"/>
      <c r="P60" s="60">
        <f t="shared" si="7"/>
        <v>0</v>
      </c>
      <c r="Q60" s="68">
        <f t="shared" si="8"/>
        <v>0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64</v>
      </c>
      <c r="B61" s="51">
        <v>44597</v>
      </c>
      <c r="C61" s="52" t="s">
        <v>56</v>
      </c>
      <c r="D61" s="53"/>
      <c r="E61" s="52" t="s">
        <v>5</v>
      </c>
      <c r="F61" s="53"/>
      <c r="G61" s="54"/>
      <c r="H61" s="55"/>
      <c r="I61" s="56"/>
      <c r="J61" s="56"/>
      <c r="P61" s="60">
        <f t="shared" si="7"/>
        <v>0</v>
      </c>
      <c r="Q61" s="68">
        <f t="shared" si="8"/>
        <v>0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55</v>
      </c>
      <c r="B62" s="51">
        <v>44598</v>
      </c>
      <c r="C62" s="52" t="s">
        <v>55</v>
      </c>
      <c r="D62" s="53"/>
      <c r="E62" s="52" t="s">
        <v>4</v>
      </c>
      <c r="F62" s="53"/>
      <c r="G62" s="54"/>
      <c r="H62" s="55"/>
      <c r="I62" s="56"/>
      <c r="J62" s="56"/>
      <c r="P62" s="60">
        <f t="shared" si="7"/>
        <v>0</v>
      </c>
      <c r="Q62" s="68">
        <f t="shared" si="8"/>
        <v>0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65</v>
      </c>
      <c r="B63" s="51">
        <v>44598</v>
      </c>
      <c r="C63" s="52" t="s">
        <v>35</v>
      </c>
      <c r="D63" s="53"/>
      <c r="E63" s="52" t="s">
        <v>38</v>
      </c>
      <c r="F63" s="53"/>
      <c r="G63" s="54"/>
      <c r="H63" s="55"/>
      <c r="I63" s="56"/>
      <c r="J63" s="56"/>
      <c r="P63" s="60">
        <f t="shared" si="7"/>
        <v>0</v>
      </c>
      <c r="Q63" s="68">
        <f t="shared" si="8"/>
        <v>0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56</v>
      </c>
      <c r="B64" s="51">
        <v>44600</v>
      </c>
      <c r="C64" s="52" t="s">
        <v>35</v>
      </c>
      <c r="D64" s="53"/>
      <c r="E64" s="52" t="s">
        <v>5</v>
      </c>
      <c r="F64" s="53"/>
      <c r="G64" s="54"/>
      <c r="H64" s="55"/>
      <c r="I64" s="56"/>
      <c r="J64" s="56"/>
      <c r="P64" s="60">
        <f>D64-F64</f>
        <v>0</v>
      </c>
      <c r="Q64" s="68">
        <f>ABS(P64)</f>
        <v>0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52</v>
      </c>
      <c r="B65" s="51">
        <v>44600</v>
      </c>
      <c r="C65" s="52" t="s">
        <v>43</v>
      </c>
      <c r="D65" s="53"/>
      <c r="E65" s="52" t="s">
        <v>3</v>
      </c>
      <c r="F65" s="53"/>
      <c r="G65" s="54"/>
      <c r="H65" s="55"/>
      <c r="I65" s="56"/>
      <c r="J65" s="56"/>
      <c r="P65" s="60">
        <f>D65-F65</f>
        <v>0</v>
      </c>
      <c r="Q65" s="68">
        <f>ABS(P65)</f>
        <v>0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2</v>
      </c>
      <c r="B66" s="51">
        <v>44602</v>
      </c>
      <c r="C66" s="52" t="s">
        <v>24</v>
      </c>
      <c r="D66" s="53"/>
      <c r="E66" s="52" t="s">
        <v>5</v>
      </c>
      <c r="F66" s="53"/>
      <c r="G66" s="54"/>
      <c r="H66" s="55"/>
      <c r="I66" s="56"/>
      <c r="J66" s="56"/>
      <c r="P66" s="60">
        <f>D66-F66</f>
        <v>0</v>
      </c>
      <c r="Q66" s="68">
        <f>ABS(P66)</f>
        <v>0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66</v>
      </c>
      <c r="B67" s="51">
        <v>44603</v>
      </c>
      <c r="C67" s="52" t="s">
        <v>3</v>
      </c>
      <c r="D67" s="53"/>
      <c r="E67" s="52" t="s">
        <v>4</v>
      </c>
      <c r="F67" s="53"/>
      <c r="G67" s="54"/>
      <c r="H67" s="55"/>
      <c r="I67" s="56"/>
      <c r="J67" s="56"/>
      <c r="P67" s="60">
        <f>D67-F67</f>
        <v>0</v>
      </c>
      <c r="Q67" s="68">
        <f>ABS(P67)</f>
        <v>0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67</v>
      </c>
      <c r="B68" s="51">
        <v>44603</v>
      </c>
      <c r="C68" s="52" t="s">
        <v>38</v>
      </c>
      <c r="D68" s="53"/>
      <c r="E68" s="52" t="s">
        <v>56</v>
      </c>
      <c r="F68" s="53"/>
      <c r="G68" s="54"/>
      <c r="H68" s="55"/>
      <c r="I68" s="56"/>
      <c r="J68" s="56"/>
      <c r="P68" s="60">
        <f>D68-F68</f>
        <v>0</v>
      </c>
      <c r="Q68" s="68">
        <f>ABS(P68)</f>
        <v>0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68</v>
      </c>
      <c r="B69" s="51">
        <v>44603</v>
      </c>
      <c r="C69" s="52" t="s">
        <v>24</v>
      </c>
      <c r="D69" s="53"/>
      <c r="E69" s="52" t="s">
        <v>35</v>
      </c>
      <c r="F69" s="53"/>
      <c r="G69" s="54"/>
      <c r="H69" s="55"/>
      <c r="I69" s="56"/>
      <c r="J69" s="56"/>
      <c r="P69" s="60">
        <f>D69-F69</f>
        <v>0</v>
      </c>
      <c r="Q69" s="68">
        <f>ABS(P69)</f>
        <v>0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69</v>
      </c>
      <c r="B70" s="51">
        <v>44604</v>
      </c>
      <c r="C70" s="52" t="s">
        <v>4</v>
      </c>
      <c r="D70" s="53"/>
      <c r="E70" s="52" t="s">
        <v>38</v>
      </c>
      <c r="F70" s="53"/>
      <c r="G70" s="54"/>
      <c r="H70" s="55"/>
      <c r="I70" s="56"/>
      <c r="J70" s="56"/>
      <c r="P70" s="60">
        <f>D70-F70</f>
        <v>0</v>
      </c>
      <c r="Q70" s="68">
        <f>ABS(P70)</f>
        <v>0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70</v>
      </c>
      <c r="B71" s="51">
        <v>44604</v>
      </c>
      <c r="C71" s="52" t="s">
        <v>55</v>
      </c>
      <c r="D71" s="53"/>
      <c r="E71" s="52" t="s">
        <v>56</v>
      </c>
      <c r="F71" s="53"/>
      <c r="G71" s="54"/>
      <c r="H71" s="55"/>
      <c r="I71" s="56"/>
      <c r="J71" s="56"/>
      <c r="P71" s="60">
        <f>D71-F71</f>
        <v>0</v>
      </c>
      <c r="Q71" s="68">
        <f>ABS(P71)</f>
        <v>0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71</v>
      </c>
      <c r="B72" s="51">
        <v>44604</v>
      </c>
      <c r="C72" s="52" t="s">
        <v>3</v>
      </c>
      <c r="D72" s="53"/>
      <c r="E72" s="52" t="s">
        <v>35</v>
      </c>
      <c r="F72" s="53"/>
      <c r="G72" s="54"/>
      <c r="H72" s="55"/>
      <c r="I72" s="56"/>
      <c r="J72" s="56"/>
      <c r="P72" s="60">
        <f>D72-F72</f>
        <v>0</v>
      </c>
      <c r="Q72" s="68">
        <f>ABS(P72)</f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72</v>
      </c>
      <c r="B73" s="51">
        <v>44604</v>
      </c>
      <c r="C73" s="52" t="s">
        <v>5</v>
      </c>
      <c r="D73" s="53"/>
      <c r="E73" s="52" t="s">
        <v>24</v>
      </c>
      <c r="F73" s="53"/>
      <c r="G73" s="54"/>
      <c r="H73" s="55"/>
      <c r="I73" s="56"/>
      <c r="J73" s="56"/>
      <c r="P73" s="60">
        <f>D73-F73</f>
        <v>0</v>
      </c>
      <c r="Q73" s="68">
        <f>ABS(P73)</f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54</v>
      </c>
      <c r="B74" s="72">
        <v>44607</v>
      </c>
      <c r="C74" s="73" t="s">
        <v>56</v>
      </c>
      <c r="D74" s="74"/>
      <c r="E74" s="73" t="s">
        <v>3</v>
      </c>
      <c r="F74" s="74"/>
      <c r="G74" s="75"/>
      <c r="H74" s="55"/>
      <c r="I74" s="56"/>
      <c r="J74" s="56"/>
      <c r="P74" s="76">
        <f>D74-F74</f>
        <v>0</v>
      </c>
      <c r="Q74" s="77">
        <f>ABS(P74)</f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8"/>
      <c r="B75" s="108"/>
      <c r="C75" s="108"/>
      <c r="D75" s="108"/>
      <c r="E75" s="108"/>
      <c r="F75" s="108"/>
      <c r="G75" s="108"/>
      <c r="H75" s="55"/>
      <c r="I75" s="56"/>
      <c r="J75" s="56"/>
      <c r="W75" s="61"/>
    </row>
    <row r="76" spans="1:23" s="57" customFormat="1" x14ac:dyDescent="0.3">
      <c r="A76" s="105" t="s">
        <v>57</v>
      </c>
      <c r="B76" s="106"/>
      <c r="C76" s="106"/>
      <c r="D76" s="106"/>
      <c r="E76" s="106"/>
      <c r="F76" s="106"/>
      <c r="G76" s="107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78"/>
      <c r="D77" s="53"/>
      <c r="E77" s="78"/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78"/>
      <c r="D78" s="53"/>
      <c r="E78" s="78"/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9"/>
      <c r="D79" s="74"/>
      <c r="E79" s="79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478</v>
      </c>
    </row>
    <row r="113" spans="4:6" x14ac:dyDescent="0.3">
      <c r="D113" s="1">
        <f>SUM(D3:D111)</f>
        <v>240</v>
      </c>
      <c r="F113" s="1">
        <f>SUM(F3:F111)</f>
        <v>238</v>
      </c>
    </row>
  </sheetData>
  <sortState xmlns:xlrd2="http://schemas.microsoft.com/office/spreadsheetml/2017/richdata2" ref="A64:Q74">
    <sortCondition ref="B64:B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2022-02-02T17:36:27Z</dcterms:modified>
</cp:coreProperties>
</file>