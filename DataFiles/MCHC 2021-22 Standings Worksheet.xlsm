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6462" documentId="8_{970098D5-2AA6-4EE8-9507-3C4E4A614472}" xr6:coauthVersionLast="47" xr6:coauthVersionMax="47" xr10:uidLastSave="{DA9AB57E-A248-409F-958D-1ADC866728DD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0" i="1" l="1"/>
  <c r="P69" i="1"/>
  <c r="P68" i="1"/>
  <c r="P67" i="1"/>
  <c r="P66" i="1"/>
  <c r="P65" i="1"/>
  <c r="P64" i="1"/>
  <c r="P62" i="1"/>
  <c r="P59" i="1"/>
  <c r="P74" i="1"/>
  <c r="P57" i="1"/>
  <c r="P56" i="1"/>
  <c r="P55" i="1"/>
  <c r="P63" i="1"/>
  <c r="Q63" i="1" s="1"/>
  <c r="P73" i="1"/>
  <c r="Q73" i="1" s="1"/>
  <c r="P72" i="1"/>
  <c r="Q72" i="1" s="1"/>
  <c r="P54" i="1"/>
  <c r="Q54" i="1" s="1"/>
  <c r="P60" i="1"/>
  <c r="Q60" i="1" s="1"/>
  <c r="P58" i="1"/>
  <c r="Q58" i="1" s="1"/>
  <c r="P71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1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8" i="1"/>
  <c r="Q70" i="1" l="1"/>
  <c r="Q69" i="1"/>
  <c r="Q67" i="1"/>
  <c r="Q66" i="1"/>
  <c r="Q65" i="1"/>
  <c r="Q64" i="1"/>
  <c r="Q62" i="1"/>
  <c r="Q59" i="1"/>
  <c r="Q55" i="1"/>
  <c r="Q74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<sst xmlns="http://schemas.openxmlformats.org/spreadsheetml/2006/main" count="397" uniqueCount="90">
  <si>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</si>
  <si>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</si>
  <si>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</si>
  <si>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</si>
  <si>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</si>
  <si>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</si>
  <si>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</si>
  <si>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</si>
  <si>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</si>
  <si>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</si>
  <si>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</si>
  <si>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</si>
  <si>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</si>
  <si>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</si>
  <si>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</si>
  <si>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</si>
  <si>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</si>
  <si>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</si>
  <si>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</si>
  <si>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</si>
  <si>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</si>
  <si>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</si>
  <si>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</si>
  <si>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</si>
  <si>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</si>
  <si>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</si>
  <si>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</si>
  <si>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</si>
  <si>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</si>
  <si>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</si>
  <si>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</si>
  <si>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</si>
  <si>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</si>
  <si>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</si>
  <si>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</si>
  <si>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</si>
  <si>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</si>
  <si>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</si>
  <si>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</si>
  <si>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</si>
  <si>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</si>
  <si>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</si>
  <si>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</si>
  <si>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</si>
  <si>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</si>
  <si>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</si>
  <si>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</si>
  <si>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</si>
  <si>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</si>
  <si>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</si>
  <si>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</si>
  <si>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</si>
  <si>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</si>
  <si>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</si>
  <si>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</si>
  <si>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</si>
  <si>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</si>
  <si>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</si>
  <si>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</si>
  <si>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</si>
  <si>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</si>
  <si>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</si>
  <si>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</si>
  <si>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</si>
  <si>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</si>
  <si>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</si>
  <si>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</si>
  <si>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</si>
  <si>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</si>
  <si>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</si>
  <si>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</si>
  <si>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</si>
  <si>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</si>
  <si>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</si>
  <si>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</si>
  <si>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</si>
  <si>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</si>
  <si>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</si>
  <si>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</si>
  <si>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</si>
  <si>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</si>
  <si>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</si>
  <si>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</si>
  <si>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</si>
  <si>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</si>
  <si>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</si>
  <si>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</si>
  <si>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</si>
  <si>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</si>
  <si>
    <t>16-Game Season
Top 4 Teams Qualify for the Playoffs
Highlighted Teams Clinched Playoff Berth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</si>
</sst>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0" fillId="4" borderId="35" xfId="0" applyFont="1" applyFill="1" applyBorder="1" applyAlignment="1">
      <alignment horizontal="center" vertical="center"/>
    </xf>
    <xf numFmtId="1" fontId="22" fillId="4" borderId="6" xfId="0" applyNumberFormat="1" applyFont="1" applyFill="1" applyBorder="1" applyAlignment="1">
      <alignment horizontal="center" vertical="center"/>
    </xf>
    <xf numFmtId="1" fontId="25" fillId="4" borderId="6" xfId="0" applyNumberFormat="1" applyFont="1" applyFill="1" applyBorder="1" applyAlignment="1">
      <alignment horizontal="center" vertical="center"/>
    </xf>
    <xf numFmtId="1" fontId="22" fillId="4" borderId="25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82</v>
      </c>
      <c r="H3" s="83" t="s">
        <v>83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109" t="s">
        <v>55</v>
      </c>
      <c r="D4" s="110">
        <v>14</v>
      </c>
      <c r="E4" s="110">
        <v>14</v>
      </c>
      <c r="F4" s="110">
        <v>0</v>
      </c>
      <c r="G4" s="110">
        <v>0</v>
      </c>
      <c r="H4" s="111">
        <v>28</v>
      </c>
      <c r="I4" s="110">
        <v>101</v>
      </c>
      <c r="J4" s="112">
        <v>36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109" t="s">
        <v>5</v>
      </c>
      <c r="D5" s="110">
        <v>14</v>
      </c>
      <c r="E5" s="110">
        <v>10</v>
      </c>
      <c r="F5" s="110">
        <v>4</v>
      </c>
      <c r="G5" s="110">
        <v>0</v>
      </c>
      <c r="H5" s="111">
        <v>20</v>
      </c>
      <c r="I5" s="110">
        <v>93</v>
      </c>
      <c r="J5" s="112">
        <v>56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109" t="s">
        <v>4</v>
      </c>
      <c r="D6" s="110">
        <v>15</v>
      </c>
      <c r="E6" s="110">
        <v>9</v>
      </c>
      <c r="F6" s="110">
        <v>4</v>
      </c>
      <c r="G6" s="110">
        <v>2</v>
      </c>
      <c r="H6" s="111">
        <v>20</v>
      </c>
      <c r="I6" s="110">
        <v>58</v>
      </c>
      <c r="J6" s="112">
        <v>43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15</v>
      </c>
      <c r="E7" s="33">
        <v>8</v>
      </c>
      <c r="F7" s="33">
        <v>7</v>
      </c>
      <c r="G7" s="33">
        <v>0</v>
      </c>
      <c r="H7" s="86">
        <v>16</v>
      </c>
      <c r="I7" s="33">
        <v>79</v>
      </c>
      <c r="J7" s="87">
        <v>61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35</v>
      </c>
      <c r="D8" s="33">
        <v>15</v>
      </c>
      <c r="E8" s="33">
        <v>7</v>
      </c>
      <c r="F8" s="33">
        <v>6</v>
      </c>
      <c r="G8" s="33">
        <v>2</v>
      </c>
      <c r="H8" s="86">
        <v>16</v>
      </c>
      <c r="I8" s="33">
        <v>77</v>
      </c>
      <c r="J8" s="87">
        <v>71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56</v>
      </c>
      <c r="D9" s="33">
        <v>13</v>
      </c>
      <c r="E9" s="33">
        <v>6</v>
      </c>
      <c r="F9" s="33">
        <v>5</v>
      </c>
      <c r="G9" s="33">
        <v>2</v>
      </c>
      <c r="H9" s="86">
        <v>14</v>
      </c>
      <c r="I9" s="33">
        <v>52</v>
      </c>
      <c r="J9" s="87">
        <v>63</v>
      </c>
      <c r="K9" s="93"/>
    </row>
    <row r="10" spans="1:16" ht="18" customHeight="1" x14ac:dyDescent="0.3">
      <c r="A10" s="93"/>
      <c r="B10" s="81">
        <v>7</v>
      </c>
      <c r="C10" s="85" t="s">
        <v>3</v>
      </c>
      <c r="D10" s="33">
        <v>13</v>
      </c>
      <c r="E10" s="33">
        <v>4</v>
      </c>
      <c r="F10" s="33">
        <v>8</v>
      </c>
      <c r="G10" s="33">
        <v>1</v>
      </c>
      <c r="H10" s="86">
        <v>9</v>
      </c>
      <c r="I10" s="33">
        <v>38</v>
      </c>
      <c r="J10" s="87">
        <v>64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43</v>
      </c>
      <c r="D11" s="33">
        <v>15</v>
      </c>
      <c r="E11" s="33">
        <v>4</v>
      </c>
      <c r="F11" s="33">
        <v>10</v>
      </c>
      <c r="G11" s="33">
        <v>1</v>
      </c>
      <c r="H11" s="86">
        <v>9</v>
      </c>
      <c r="I11" s="33">
        <v>41</v>
      </c>
      <c r="J11" s="87">
        <v>64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14</v>
      </c>
      <c r="E12" s="33">
        <v>2</v>
      </c>
      <c r="F12" s="33">
        <v>12</v>
      </c>
      <c r="G12" s="33">
        <v>0</v>
      </c>
      <c r="H12" s="86">
        <v>4</v>
      </c>
      <c r="I12" s="33">
        <v>37</v>
      </c>
      <c r="J12" s="87">
        <v>118</v>
      </c>
      <c r="K12" s="93"/>
      <c r="M12" s="90" t="s">
        <v>20</v>
      </c>
      <c r="N12" s="90"/>
      <c r="O12" s="90"/>
      <c r="P12" s="5">
        <v>68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44604.645879629628</v>
      </c>
      <c r="H13" s="94"/>
      <c r="I13" s="94"/>
      <c r="J13" s="95"/>
      <c r="K13" s="34"/>
      <c r="M13" s="48"/>
      <c r="N13" s="48"/>
      <c r="O13" s="48"/>
      <c r="P13" s="22"/>
    </row>
    <row r="14" spans="1:16" ht="44.4" customHeight="1" thickBot="1" x14ac:dyDescent="0.35">
      <c r="B14" s="49"/>
      <c r="C14" s="98" t="s">
        <v>89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576</v>
      </c>
      <c r="J15" s="7">
        <f>SUM(J4:J12)</f>
        <v>576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52" zoomScaleNormal="100" workbookViewId="0">
      <selection activeCell="A66" sqref="A66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64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19</v>
      </c>
      <c r="U3" s="63">
        <f>IF($T$2&gt;0, T3/$T$2, 0)</f>
        <v>0.296875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9</v>
      </c>
      <c r="U4" s="63">
        <f>IF($T$2&gt;0, T4/$T$2, 0)</f>
        <v>0.140625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11</v>
      </c>
      <c r="U5" s="63">
        <f>IF($T$2&gt;0, T5/$T$2, 0)</f>
        <v>0.171875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9</v>
      </c>
      <c r="U6" s="63">
        <f>IF($T$2&gt;0, T6/$T$2, 0)</f>
        <v>0.140625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16</v>
      </c>
      <c r="U7" s="67">
        <f>IF($T$2&gt;0, T7/$T$2, 0)</f>
        <v>0.25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80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80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81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84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85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85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86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87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81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62" si="9">D55-F55</f>
        <v>4</v>
      </c>
      <c r="Q55" s="68">
        <f t="shared" ref="Q55:Q62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 t="shared" si="9"/>
        <v>4</v>
      </c>
      <c r="Q58" s="68">
        <f t="shared" si="10"/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 t="shared" si="9"/>
        <v>3</v>
      </c>
      <c r="Q59" s="68">
        <f t="shared" si="10"/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>
        <v>4</v>
      </c>
      <c r="E60" s="52" t="s">
        <v>5</v>
      </c>
      <c r="F60" s="53">
        <v>5</v>
      </c>
      <c r="G60" s="54"/>
      <c r="H60" s="55" t="s">
        <v>79</v>
      </c>
      <c r="I60" s="56">
        <v>4</v>
      </c>
      <c r="J60" s="56">
        <v>1</v>
      </c>
      <c r="P60" s="60">
        <f t="shared" si="9"/>
        <v>-1</v>
      </c>
      <c r="Q60" s="68">
        <f t="shared" si="10"/>
        <v>1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>
        <v>1</v>
      </c>
      <c r="E61" s="52" t="s">
        <v>3</v>
      </c>
      <c r="F61" s="53">
        <v>2</v>
      </c>
      <c r="G61" s="54"/>
      <c r="H61" s="55" t="s">
        <v>85</v>
      </c>
      <c r="I61" s="56">
        <v>9</v>
      </c>
      <c r="J61" s="56">
        <v>3</v>
      </c>
      <c r="P61" s="60">
        <f t="shared" si="9"/>
        <v>-1</v>
      </c>
      <c r="Q61" s="68">
        <f t="shared" si="10"/>
        <v>1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>
        <v>0</v>
      </c>
      <c r="E62" s="52" t="s">
        <v>5</v>
      </c>
      <c r="F62" s="53">
        <v>16</v>
      </c>
      <c r="G62" s="54"/>
      <c r="H62" s="55" t="s">
        <v>79</v>
      </c>
      <c r="I62" s="56">
        <v>8</v>
      </c>
      <c r="J62" s="56">
        <v>1</v>
      </c>
      <c r="P62" s="60">
        <f t="shared" si="9"/>
        <v>-16</v>
      </c>
      <c r="Q62" s="68">
        <f t="shared" si="10"/>
        <v>16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63</v>
      </c>
      <c r="B63" s="51">
        <v>44602</v>
      </c>
      <c r="C63" s="52" t="s">
        <v>4</v>
      </c>
      <c r="D63" s="53">
        <v>2</v>
      </c>
      <c r="E63" s="52" t="s">
        <v>56</v>
      </c>
      <c r="F63" s="53">
        <v>3</v>
      </c>
      <c r="G63" s="54"/>
      <c r="H63" s="55" t="s">
        <v>80</v>
      </c>
      <c r="I63" s="56">
        <v>7</v>
      </c>
      <c r="J63" s="56">
        <v>2</v>
      </c>
      <c r="P63" s="60">
        <f t="shared" ref="P63:P74" si="11">D63-F63</f>
        <v>-1</v>
      </c>
      <c r="Q63" s="68">
        <f t="shared" ref="Q63:Q74" si="12">ABS(P63)</f>
        <v>1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66</v>
      </c>
      <c r="B64" s="51">
        <v>44603</v>
      </c>
      <c r="C64" s="52" t="s">
        <v>3</v>
      </c>
      <c r="D64" s="53">
        <v>2</v>
      </c>
      <c r="E64" s="52" t="s">
        <v>4</v>
      </c>
      <c r="F64" s="53">
        <v>3</v>
      </c>
      <c r="G64" s="54"/>
      <c r="H64" s="55" t="s">
        <v>73</v>
      </c>
      <c r="I64" s="56">
        <v>3</v>
      </c>
      <c r="J64" s="56">
        <v>7</v>
      </c>
      <c r="P64" s="60">
        <f t="shared" si="11"/>
        <v>-1</v>
      </c>
      <c r="Q64" s="68">
        <f t="shared" si="12"/>
        <v>1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67</v>
      </c>
      <c r="B65" s="51">
        <v>44603</v>
      </c>
      <c r="C65" s="52" t="s">
        <v>38</v>
      </c>
      <c r="D65" s="53">
        <v>2</v>
      </c>
      <c r="E65" s="52" t="s">
        <v>56</v>
      </c>
      <c r="F65" s="53">
        <v>5</v>
      </c>
      <c r="G65" s="54"/>
      <c r="H65" s="55" t="s">
        <v>80</v>
      </c>
      <c r="I65" s="56">
        <v>6</v>
      </c>
      <c r="J65" s="56">
        <v>2</v>
      </c>
      <c r="P65" s="60">
        <f t="shared" si="11"/>
        <v>-3</v>
      </c>
      <c r="Q65" s="68">
        <f t="shared" si="12"/>
        <v>3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68</v>
      </c>
      <c r="B66" s="51">
        <v>44603</v>
      </c>
      <c r="C66" s="52" t="s">
        <v>24</v>
      </c>
      <c r="D66" s="53">
        <v>3</v>
      </c>
      <c r="E66" s="52" t="s">
        <v>35</v>
      </c>
      <c r="F66" s="53">
        <v>7</v>
      </c>
      <c r="G66" s="54"/>
      <c r="H66" s="55" t="s">
        <v>76</v>
      </c>
      <c r="I66" s="56">
        <v>8</v>
      </c>
      <c r="J66" s="56">
        <v>4</v>
      </c>
      <c r="P66" s="60">
        <f t="shared" si="11"/>
        <v>-4</v>
      </c>
      <c r="Q66" s="68">
        <f t="shared" si="12"/>
        <v>4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69</v>
      </c>
      <c r="B67" s="51">
        <v>44604</v>
      </c>
      <c r="C67" s="52" t="s">
        <v>4</v>
      </c>
      <c r="D67" s="53"/>
      <c r="E67" s="52" t="s">
        <v>38</v>
      </c>
      <c r="F67" s="53"/>
      <c r="G67" s="54"/>
      <c r="H67" s="55"/>
      <c r="I67" s="56"/>
      <c r="J67" s="56"/>
      <c r="P67" s="60">
        <f t="shared" si="11"/>
        <v>0</v>
      </c>
      <c r="Q67" s="68">
        <f t="shared" si="12"/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70</v>
      </c>
      <c r="B68" s="51">
        <v>44604</v>
      </c>
      <c r="C68" s="52" t="s">
        <v>55</v>
      </c>
      <c r="D68" s="53"/>
      <c r="E68" s="52" t="s">
        <v>56</v>
      </c>
      <c r="F68" s="53"/>
      <c r="G68" s="54"/>
      <c r="H68" s="55"/>
      <c r="I68" s="56"/>
      <c r="J68" s="56"/>
      <c r="P68" s="60">
        <f t="shared" si="11"/>
        <v>0</v>
      </c>
      <c r="Q68" s="68">
        <f t="shared" si="12"/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71</v>
      </c>
      <c r="B69" s="51">
        <v>44604</v>
      </c>
      <c r="C69" s="52" t="s">
        <v>3</v>
      </c>
      <c r="D69" s="53"/>
      <c r="E69" s="52" t="s">
        <v>35</v>
      </c>
      <c r="F69" s="53"/>
      <c r="G69" s="54"/>
      <c r="H69" s="55"/>
      <c r="I69" s="56"/>
      <c r="J69" s="56"/>
      <c r="P69" s="60">
        <f t="shared" si="11"/>
        <v>0</v>
      </c>
      <c r="Q69" s="68">
        <f t="shared" si="12"/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72</v>
      </c>
      <c r="B70" s="51">
        <v>44604</v>
      </c>
      <c r="C70" s="52" t="s">
        <v>5</v>
      </c>
      <c r="D70" s="53"/>
      <c r="E70" s="52" t="s">
        <v>24</v>
      </c>
      <c r="F70" s="53"/>
      <c r="G70" s="54"/>
      <c r="H70" s="55"/>
      <c r="I70" s="56"/>
      <c r="J70" s="56"/>
      <c r="P70" s="60">
        <f t="shared" si="11"/>
        <v>0</v>
      </c>
      <c r="Q70" s="68">
        <f t="shared" si="12"/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54</v>
      </c>
      <c r="B71" s="51">
        <v>44607</v>
      </c>
      <c r="C71" s="52" t="s">
        <v>56</v>
      </c>
      <c r="D71" s="53"/>
      <c r="E71" s="52" t="s">
        <v>3</v>
      </c>
      <c r="F71" s="53"/>
      <c r="G71" s="54"/>
      <c r="H71" s="55"/>
      <c r="I71" s="56"/>
      <c r="J71" s="56"/>
      <c r="P71" s="60">
        <f t="shared" si="11"/>
        <v>0</v>
      </c>
      <c r="Q71" s="68">
        <f t="shared" si="12"/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58</v>
      </c>
      <c r="B72" s="51" t="s">
        <v>88</v>
      </c>
      <c r="C72" s="52" t="s">
        <v>3</v>
      </c>
      <c r="D72" s="53"/>
      <c r="E72" s="52" t="s">
        <v>43</v>
      </c>
      <c r="F72" s="53"/>
      <c r="G72" s="54"/>
      <c r="H72" s="55"/>
      <c r="I72" s="56"/>
      <c r="J72" s="56"/>
      <c r="P72" s="60">
        <f t="shared" si="11"/>
        <v>0</v>
      </c>
      <c r="Q72" s="68">
        <f t="shared" si="12"/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59</v>
      </c>
      <c r="B73" s="51" t="s">
        <v>88</v>
      </c>
      <c r="C73" s="52" t="s">
        <v>24</v>
      </c>
      <c r="D73" s="53"/>
      <c r="E73" s="52" t="s">
        <v>55</v>
      </c>
      <c r="F73" s="53"/>
      <c r="G73" s="54"/>
      <c r="H73" s="55"/>
      <c r="I73" s="56"/>
      <c r="J73" s="56"/>
      <c r="P73" s="60">
        <f t="shared" si="11"/>
        <v>0</v>
      </c>
      <c r="Q73" s="68">
        <f t="shared" si="12"/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64</v>
      </c>
      <c r="B74" s="72" t="s">
        <v>88</v>
      </c>
      <c r="C74" s="73" t="s">
        <v>56</v>
      </c>
      <c r="D74" s="74"/>
      <c r="E74" s="73" t="s">
        <v>5</v>
      </c>
      <c r="F74" s="74"/>
      <c r="G74" s="75"/>
      <c r="H74" s="55"/>
      <c r="I74" s="56"/>
      <c r="J74" s="56"/>
      <c r="P74" s="76">
        <f t="shared" si="11"/>
        <v>0</v>
      </c>
      <c r="Q74" s="77">
        <f t="shared" si="12"/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576</v>
      </c>
    </row>
    <row r="113" spans="4:6" x14ac:dyDescent="0.3">
      <c r="D113" s="1">
        <f>SUM(D3:D111)</f>
        <v>277</v>
      </c>
      <c r="F113" s="1">
        <f>SUM(F3:F111)</f>
        <v>299</v>
      </c>
    </row>
  </sheetData>
  <sortState xmlns:xlrd2="http://schemas.microsoft.com/office/spreadsheetml/2017/richdata2" ref="A63:R74">
    <sortCondition ref="B63:B74"/>
    <sortCondition ref="A63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2022-02-12T20:31:56Z</dcterms:modified>
</cp:coreProperties>
</file>