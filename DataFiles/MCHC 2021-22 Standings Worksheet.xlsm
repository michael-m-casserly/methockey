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667" documentId="8_{970098D5-2AA6-4EE8-9507-3C4E4A614472}" xr6:coauthVersionLast="47" xr6:coauthVersionMax="47" xr10:uidLastSave="{55F7B8B3-6A3F-41DC-B6DF-CC95632692F0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<sst xmlns="http://schemas.openxmlformats.org/spreadsheetml/2006/main" count="338" uniqueCount="75">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</sst>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21" fillId="2" borderId="10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0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workbookViewId="0">
      <selection activeCell="S13" sqref="S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6" ht="18" x14ac:dyDescent="0.3">
      <c r="A3" s="67"/>
      <c r="B3" s="58"/>
      <c r="C3" s="73" t="s">
        <v>6</v>
      </c>
      <c r="D3" s="73" t="s">
        <v>11</v>
      </c>
      <c r="E3" s="73" t="s">
        <v>43</v>
      </c>
      <c r="F3" s="73" t="s">
        <v>44</v>
      </c>
      <c r="G3" s="73" t="s">
        <v>7</v>
      </c>
      <c r="H3" s="73" t="s">
        <v>8</v>
      </c>
      <c r="I3" s="73" t="s">
        <v>9</v>
      </c>
      <c r="J3" s="74" t="s">
        <v>10</v>
      </c>
      <c r="K3" s="67"/>
      <c r="M3" s="62" t="s">
        <v>18</v>
      </c>
      <c r="N3" s="63"/>
      <c r="O3" s="63"/>
      <c r="P3" s="63"/>
    </row>
    <row r="4" spans="1:16" ht="18" customHeight="1" x14ac:dyDescent="0.3">
      <c r="A4" s="67"/>
      <c r="B4" s="75">
        <v>1</v>
      </c>
      <c r="C4" s="72" t="s">
        <v>59</v>
      </c>
      <c r="D4" s="57">
        <v>4</v>
      </c>
      <c r="E4" s="52">
        <v>4</v>
      </c>
      <c r="F4" s="52">
        <v>0</v>
      </c>
      <c r="G4" s="52">
        <v>0</v>
      </c>
      <c r="H4" s="57">
        <v>8</v>
      </c>
      <c r="I4" s="52">
        <v>28</v>
      </c>
      <c r="J4" s="53">
        <v>14</v>
      </c>
      <c r="K4" s="67"/>
      <c r="M4" s="4">
        <v>1</v>
      </c>
      <c r="N4" t="s">
        <v>19</v>
      </c>
    </row>
    <row r="5" spans="1:16" ht="18" customHeight="1" x14ac:dyDescent="0.3">
      <c r="A5" s="67"/>
      <c r="B5" s="76">
        <v>2</v>
      </c>
      <c r="C5" s="59" t="s">
        <v>4</v>
      </c>
      <c r="D5" s="54">
        <v>2</v>
      </c>
      <c r="E5" s="46">
        <v>2</v>
      </c>
      <c r="F5" s="46">
        <v>0</v>
      </c>
      <c r="G5" s="46">
        <v>0</v>
      </c>
      <c r="H5" s="54">
        <v>4</v>
      </c>
      <c r="I5" s="46">
        <v>10</v>
      </c>
      <c r="J5" s="47">
        <v>2</v>
      </c>
      <c r="K5" s="67"/>
      <c r="M5" s="4">
        <v>2</v>
      </c>
      <c r="N5" t="s">
        <v>20</v>
      </c>
    </row>
    <row r="6" spans="1:16" ht="18" customHeight="1" x14ac:dyDescent="0.3">
      <c r="A6" s="67"/>
      <c r="B6" s="77">
        <v>3</v>
      </c>
      <c r="C6" s="60" t="s">
        <v>47</v>
      </c>
      <c r="D6" s="55">
        <v>2</v>
      </c>
      <c r="E6" s="48">
        <v>1</v>
      </c>
      <c r="F6" s="48">
        <v>0</v>
      </c>
      <c r="G6" s="48">
        <v>1</v>
      </c>
      <c r="H6" s="55">
        <v>3</v>
      </c>
      <c r="I6" s="48">
        <v>5</v>
      </c>
      <c r="J6" s="49">
        <v>5</v>
      </c>
      <c r="K6" s="67"/>
      <c r="M6" s="4">
        <v>3</v>
      </c>
      <c r="N6" t="s">
        <v>21</v>
      </c>
    </row>
    <row r="7" spans="1:16" ht="18" customHeight="1" thickBot="1" x14ac:dyDescent="0.35">
      <c r="A7" s="67"/>
      <c r="B7" s="78">
        <v>4</v>
      </c>
      <c r="C7" s="61" t="s">
        <v>60</v>
      </c>
      <c r="D7" s="56">
        <v>3</v>
      </c>
      <c r="E7" s="50">
        <v>1</v>
      </c>
      <c r="F7" s="50">
        <v>1</v>
      </c>
      <c r="G7" s="50">
        <v>1</v>
      </c>
      <c r="H7" s="56">
        <v>3</v>
      </c>
      <c r="I7" s="50">
        <v>14</v>
      </c>
      <c r="J7" s="51">
        <v>17</v>
      </c>
      <c r="K7" s="67"/>
      <c r="M7" s="4">
        <v>4</v>
      </c>
      <c r="N7" t="s">
        <v>23</v>
      </c>
    </row>
    <row r="8" spans="1:16" ht="18" customHeight="1" x14ac:dyDescent="0.3">
      <c r="A8" s="67"/>
      <c r="B8" s="75">
        <v>5</v>
      </c>
      <c r="C8" s="59" t="s">
        <v>5</v>
      </c>
      <c r="D8" s="57">
        <v>2</v>
      </c>
      <c r="E8" s="52">
        <v>1</v>
      </c>
      <c r="F8" s="52">
        <v>1</v>
      </c>
      <c r="G8" s="52">
        <v>0</v>
      </c>
      <c r="H8" s="57">
        <v>2</v>
      </c>
      <c r="I8" s="52">
        <v>12</v>
      </c>
      <c r="J8" s="53">
        <v>11</v>
      </c>
      <c r="K8" s="67"/>
      <c r="M8" s="4">
        <v>5</v>
      </c>
      <c r="N8" t="s">
        <v>25</v>
      </c>
    </row>
    <row r="9" spans="1:16" ht="18" customHeight="1" x14ac:dyDescent="0.3">
      <c r="A9" s="67"/>
      <c r="B9" s="76">
        <v>6</v>
      </c>
      <c r="C9" s="60" t="s">
        <v>30</v>
      </c>
      <c r="D9" s="54">
        <v>3</v>
      </c>
      <c r="E9" s="46">
        <v>1</v>
      </c>
      <c r="F9" s="46">
        <v>2</v>
      </c>
      <c r="G9" s="46">
        <v>0</v>
      </c>
      <c r="H9" s="54">
        <v>2</v>
      </c>
      <c r="I9" s="46">
        <v>12</v>
      </c>
      <c r="J9" s="47">
        <v>13</v>
      </c>
      <c r="K9" s="67"/>
    </row>
    <row r="10" spans="1:16" ht="18" customHeight="1" x14ac:dyDescent="0.3">
      <c r="A10" s="67"/>
      <c r="B10" s="76">
        <v>7</v>
      </c>
      <c r="C10" s="60" t="s">
        <v>3</v>
      </c>
      <c r="D10" s="54">
        <v>0</v>
      </c>
      <c r="E10" s="46">
        <v>0</v>
      </c>
      <c r="F10" s="46">
        <v>0</v>
      </c>
      <c r="G10" s="46">
        <v>0</v>
      </c>
      <c r="H10" s="54">
        <v>0</v>
      </c>
      <c r="I10" s="46">
        <v>0</v>
      </c>
      <c r="J10" s="47">
        <v>0</v>
      </c>
      <c r="K10" s="67"/>
      <c r="M10" t="s">
        <v>22</v>
      </c>
    </row>
    <row r="11" spans="1:16" ht="18" customHeight="1" thickBot="1" x14ac:dyDescent="0.35">
      <c r="A11" s="67"/>
      <c r="B11" s="76">
        <v>8</v>
      </c>
      <c r="C11" s="59" t="s">
        <v>39</v>
      </c>
      <c r="D11" s="54">
        <v>2</v>
      </c>
      <c r="E11" s="46">
        <v>0</v>
      </c>
      <c r="F11" s="46">
        <v>2</v>
      </c>
      <c r="G11" s="46">
        <v>0</v>
      </c>
      <c r="H11" s="54">
        <v>0</v>
      </c>
      <c r="I11" s="46">
        <v>8</v>
      </c>
      <c r="J11" s="47">
        <v>19</v>
      </c>
      <c r="K11" s="67"/>
    </row>
    <row r="12" spans="1:16" ht="16.8" thickTop="1" thickBot="1" x14ac:dyDescent="0.35">
      <c r="A12" s="67"/>
      <c r="B12" s="77">
        <v>9</v>
      </c>
      <c r="C12" s="60" t="s">
        <v>28</v>
      </c>
      <c r="D12" s="55">
        <v>2</v>
      </c>
      <c r="E12" s="48">
        <v>0</v>
      </c>
      <c r="F12" s="48">
        <v>2</v>
      </c>
      <c r="G12" s="48">
        <v>0</v>
      </c>
      <c r="H12" s="55">
        <v>0</v>
      </c>
      <c r="I12" s="48">
        <v>7</v>
      </c>
      <c r="J12" s="49">
        <v>15</v>
      </c>
      <c r="K12" s="67"/>
      <c r="M12" s="64" t="s">
        <v>24</v>
      </c>
      <c r="N12" s="64"/>
      <c r="O12" s="64"/>
      <c r="P12" s="5">
        <v>12</v>
      </c>
    </row>
    <row r="13" spans="1:16" ht="24.9" customHeight="1" thickTop="1" thickBot="1" x14ac:dyDescent="0.35">
      <c r="B13" s="79" t="s">
        <v>74</v>
      </c>
      <c r="C13" s="80"/>
      <c r="D13" s="81"/>
      <c r="E13" s="81"/>
      <c r="F13" s="81"/>
      <c r="G13" s="81"/>
      <c r="H13" s="81"/>
      <c r="I13" s="81"/>
      <c r="J13" s="82"/>
    </row>
    <row r="14" spans="1:16" x14ac:dyDescent="0.3">
      <c r="G14" s="65" t="s">
        <v>26</v>
      </c>
      <c r="H14" s="65"/>
      <c r="I14" s="7">
        <f>SUM(I4:I12)</f>
        <v>96</v>
      </c>
      <c r="J14" s="7">
        <f>SUM(J4:J12)</f>
        <v>96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7">
    <mergeCell ref="M3:P3"/>
    <mergeCell ref="M12:O12"/>
    <mergeCell ref="G14:H14"/>
    <mergeCell ref="A2:K2"/>
    <mergeCell ref="A3:A12"/>
    <mergeCell ref="K3:K12"/>
    <mergeCell ref="B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3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zoomScaleNormal="100" workbookViewId="0">
      <selection activeCell="H28" sqref="H28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68" t="s">
        <v>55</v>
      </c>
      <c r="S1" s="69"/>
      <c r="T1" s="38">
        <f>MAX(A:A)</f>
        <v>72</v>
      </c>
      <c r="U1" s="39"/>
    </row>
    <row r="2" spans="1:23" ht="15.6" thickTop="1" thickBot="1" x14ac:dyDescent="0.35">
      <c r="A2" s="107" t="s">
        <v>13</v>
      </c>
      <c r="B2" s="108" t="s">
        <v>12</v>
      </c>
      <c r="C2" s="109" t="s">
        <v>1</v>
      </c>
      <c r="D2" s="110" t="s">
        <v>45</v>
      </c>
      <c r="E2" s="109" t="s">
        <v>0</v>
      </c>
      <c r="F2" s="110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70" t="s">
        <v>56</v>
      </c>
      <c r="S2" s="71"/>
      <c r="T2" s="40">
        <f>SUM(T3:T7)</f>
        <v>10</v>
      </c>
      <c r="U2" s="41"/>
      <c r="W2" s="24"/>
    </row>
    <row r="3" spans="1:23" ht="15.6" thickTop="1" thickBot="1" x14ac:dyDescent="0.35">
      <c r="A3" s="100">
        <v>1</v>
      </c>
      <c r="B3" s="94">
        <v>44471</v>
      </c>
      <c r="C3" s="95" t="s">
        <v>39</v>
      </c>
      <c r="D3" s="93">
        <v>4</v>
      </c>
      <c r="E3" s="95" t="s">
        <v>59</v>
      </c>
      <c r="F3" s="93">
        <v>12</v>
      </c>
      <c r="G3" s="101"/>
      <c r="H3" s="83" t="s">
        <v>64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3</v>
      </c>
      <c r="U3" s="28">
        <f>IF($T$2&gt;0, T3/$T$2, 0)</f>
        <v>0.3</v>
      </c>
      <c r="V3" s="24"/>
      <c r="W3" s="24"/>
    </row>
    <row r="4" spans="1:23" ht="15.6" thickTop="1" thickBot="1" x14ac:dyDescent="0.35">
      <c r="A4" s="100">
        <v>2</v>
      </c>
      <c r="B4" s="94" t="s">
        <v>63</v>
      </c>
      <c r="C4" s="95" t="s">
        <v>28</v>
      </c>
      <c r="D4" s="93"/>
      <c r="E4" s="95" t="s">
        <v>5</v>
      </c>
      <c r="F4" s="93"/>
      <c r="G4" s="101"/>
      <c r="H4" s="83"/>
      <c r="I4" s="14"/>
      <c r="J4" s="14"/>
      <c r="M4" s="6" t="s">
        <v>40</v>
      </c>
      <c r="N4" s="6">
        <v>4</v>
      </c>
      <c r="P4" s="33">
        <f t="shared" ref="P4:P74" si="0">D4-F4</f>
        <v>0</v>
      </c>
      <c r="Q4" s="24">
        <f t="shared" ref="Q4:Q74" si="1">ABS(P4)</f>
        <v>0</v>
      </c>
      <c r="R4" s="23">
        <v>2</v>
      </c>
      <c r="S4" s="24" t="s">
        <v>51</v>
      </c>
      <c r="T4" s="24">
        <f>COUNTIF($Q$3:$Q$74,R4)</f>
        <v>3</v>
      </c>
      <c r="U4" s="28">
        <f>IF($T$2&gt;0, T4/$T$2, 0)</f>
        <v>0.3</v>
      </c>
      <c r="V4" s="24"/>
      <c r="W4" s="24"/>
    </row>
    <row r="5" spans="1:23" ht="15.6" thickTop="1" thickBot="1" x14ac:dyDescent="0.35">
      <c r="A5" s="100">
        <v>3</v>
      </c>
      <c r="B5" s="94" t="s">
        <v>63</v>
      </c>
      <c r="C5" s="95" t="s">
        <v>39</v>
      </c>
      <c r="D5" s="93"/>
      <c r="E5" s="95" t="s">
        <v>4</v>
      </c>
      <c r="F5" s="93"/>
      <c r="G5" s="101"/>
      <c r="H5" s="83"/>
      <c r="I5" s="14"/>
      <c r="J5" s="14"/>
      <c r="M5" s="6" t="s">
        <v>58</v>
      </c>
      <c r="N5" s="6">
        <v>5</v>
      </c>
      <c r="P5" s="33">
        <f t="shared" si="0"/>
        <v>0</v>
      </c>
      <c r="Q5" s="24">
        <f t="shared" si="1"/>
        <v>0</v>
      </c>
      <c r="R5" s="23">
        <v>3</v>
      </c>
      <c r="S5" s="24" t="s">
        <v>51</v>
      </c>
      <c r="T5" s="24">
        <f>COUNTIF($Q$3:$Q$74,R5)</f>
        <v>2</v>
      </c>
      <c r="U5" s="28">
        <f>IF($T$2&gt;0, T5/$T$2, 0)</f>
        <v>0.2</v>
      </c>
      <c r="V5" s="24"/>
      <c r="W5" s="24"/>
    </row>
    <row r="6" spans="1:23" ht="15.6" thickTop="1" thickBot="1" x14ac:dyDescent="0.35">
      <c r="A6" s="100">
        <v>4</v>
      </c>
      <c r="B6" s="94">
        <v>44477</v>
      </c>
      <c r="C6" s="95" t="s">
        <v>59</v>
      </c>
      <c r="D6" s="93">
        <v>6</v>
      </c>
      <c r="E6" s="95" t="s">
        <v>42</v>
      </c>
      <c r="F6" s="93">
        <v>4</v>
      </c>
      <c r="G6" s="101"/>
      <c r="H6" s="83" t="s">
        <v>66</v>
      </c>
      <c r="I6" s="14">
        <v>5</v>
      </c>
      <c r="J6" s="14">
        <v>6</v>
      </c>
      <c r="M6" s="6" t="s">
        <v>41</v>
      </c>
      <c r="N6" s="6">
        <v>6</v>
      </c>
      <c r="P6" s="33">
        <f t="shared" si="0"/>
        <v>2</v>
      </c>
      <c r="Q6" s="24">
        <f t="shared" si="1"/>
        <v>2</v>
      </c>
      <c r="R6" s="29">
        <v>4</v>
      </c>
      <c r="S6" s="24" t="s">
        <v>51</v>
      </c>
      <c r="T6" s="24">
        <f>COUNTIF($Q$3:$Q$74,R6)</f>
        <v>0</v>
      </c>
      <c r="U6" s="28">
        <f>IF($T$2&gt;0, T6/$T$2, 0)</f>
        <v>0</v>
      </c>
      <c r="V6" s="24"/>
      <c r="W6" s="24"/>
    </row>
    <row r="7" spans="1:23" ht="15.6" thickTop="1" thickBot="1" x14ac:dyDescent="0.35">
      <c r="A7" s="100">
        <v>5</v>
      </c>
      <c r="B7" s="94">
        <v>44477</v>
      </c>
      <c r="C7" s="95" t="s">
        <v>5</v>
      </c>
      <c r="D7" s="93">
        <v>7</v>
      </c>
      <c r="E7" s="95" t="s">
        <v>60</v>
      </c>
      <c r="F7" s="93">
        <v>4</v>
      </c>
      <c r="G7" s="101"/>
      <c r="H7" s="83" t="s">
        <v>67</v>
      </c>
      <c r="I7" s="14">
        <v>1</v>
      </c>
      <c r="J7" s="14">
        <v>2</v>
      </c>
      <c r="M7" s="6" t="s">
        <v>36</v>
      </c>
      <c r="N7" s="6">
        <v>7</v>
      </c>
      <c r="P7" s="33">
        <f t="shared" si="0"/>
        <v>3</v>
      </c>
      <c r="Q7" s="24">
        <f t="shared" si="1"/>
        <v>3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0.2</v>
      </c>
      <c r="V7" s="24"/>
      <c r="W7" s="24"/>
    </row>
    <row r="8" spans="1:23" ht="15.6" thickTop="1" thickBot="1" x14ac:dyDescent="0.35">
      <c r="A8" s="100">
        <v>6</v>
      </c>
      <c r="B8" s="94">
        <v>44477</v>
      </c>
      <c r="C8" s="95" t="s">
        <v>4</v>
      </c>
      <c r="D8" s="93">
        <v>2</v>
      </c>
      <c r="E8" s="95" t="s">
        <v>47</v>
      </c>
      <c r="F8" s="93">
        <v>1</v>
      </c>
      <c r="G8" s="101" t="s">
        <v>65</v>
      </c>
      <c r="H8" s="83" t="s">
        <v>68</v>
      </c>
      <c r="I8" s="14">
        <v>7</v>
      </c>
      <c r="J8" s="14">
        <v>9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100">
        <v>7</v>
      </c>
      <c r="B9" s="94">
        <v>44478</v>
      </c>
      <c r="C9" s="95" t="s">
        <v>5</v>
      </c>
      <c r="D9" s="93">
        <v>5</v>
      </c>
      <c r="E9" s="95" t="s">
        <v>59</v>
      </c>
      <c r="F9" s="93">
        <v>7</v>
      </c>
      <c r="G9" s="101"/>
      <c r="H9" s="83" t="s">
        <v>64</v>
      </c>
      <c r="I9" s="14">
        <v>1</v>
      </c>
      <c r="J9" s="14">
        <v>5</v>
      </c>
      <c r="M9" s="6" t="s">
        <v>46</v>
      </c>
      <c r="N9" s="6">
        <v>9</v>
      </c>
      <c r="P9" s="33">
        <f t="shared" si="0"/>
        <v>-2</v>
      </c>
      <c r="Q9" s="34">
        <f t="shared" si="1"/>
        <v>2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100">
        <v>8</v>
      </c>
      <c r="B10" s="94">
        <v>44478</v>
      </c>
      <c r="C10" s="95" t="s">
        <v>60</v>
      </c>
      <c r="D10" s="93">
        <v>7</v>
      </c>
      <c r="E10" s="95" t="s">
        <v>28</v>
      </c>
      <c r="F10" s="93">
        <v>6</v>
      </c>
      <c r="G10" s="101"/>
      <c r="H10" s="83" t="s">
        <v>69</v>
      </c>
      <c r="I10" s="14">
        <v>2</v>
      </c>
      <c r="J10" s="14">
        <v>8</v>
      </c>
      <c r="M10" s="6"/>
      <c r="N10" s="6"/>
      <c r="P10" s="33">
        <f t="shared" si="0"/>
        <v>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100">
        <v>9</v>
      </c>
      <c r="B11" s="94">
        <v>44478</v>
      </c>
      <c r="C11" s="95" t="s">
        <v>42</v>
      </c>
      <c r="D11" s="93">
        <v>7</v>
      </c>
      <c r="E11" s="95" t="s">
        <v>39</v>
      </c>
      <c r="F11" s="93">
        <v>4</v>
      </c>
      <c r="G11" s="101"/>
      <c r="H11" s="83" t="s">
        <v>70</v>
      </c>
      <c r="I11" s="14">
        <v>6</v>
      </c>
      <c r="J11" s="14">
        <v>4</v>
      </c>
      <c r="N11" s="6">
        <v>9</v>
      </c>
      <c r="P11" s="33">
        <f t="shared" si="0"/>
        <v>3</v>
      </c>
      <c r="Q11" s="34">
        <f t="shared" si="1"/>
        <v>3</v>
      </c>
      <c r="R11" s="24"/>
      <c r="S11" s="24"/>
      <c r="T11" s="24"/>
      <c r="U11" s="25"/>
      <c r="V11" s="24"/>
      <c r="W11" s="24"/>
    </row>
    <row r="12" spans="1:23" ht="15" thickTop="1" x14ac:dyDescent="0.3">
      <c r="A12" s="100">
        <v>10</v>
      </c>
      <c r="B12" s="94">
        <v>44484</v>
      </c>
      <c r="C12" s="95" t="s">
        <v>60</v>
      </c>
      <c r="D12" s="93">
        <v>3</v>
      </c>
      <c r="E12" s="95" t="s">
        <v>47</v>
      </c>
      <c r="F12" s="93">
        <v>4</v>
      </c>
      <c r="G12" s="101" t="s">
        <v>71</v>
      </c>
      <c r="H12" s="83" t="s">
        <v>72</v>
      </c>
      <c r="I12" s="14">
        <v>2</v>
      </c>
      <c r="J12" s="14">
        <v>9</v>
      </c>
      <c r="P12" s="33">
        <f t="shared" si="0"/>
        <v>-1</v>
      </c>
      <c r="Q12" s="34">
        <f t="shared" si="1"/>
        <v>1</v>
      </c>
      <c r="R12" s="24"/>
      <c r="S12" s="24"/>
      <c r="T12" s="24"/>
      <c r="U12" s="24"/>
      <c r="V12" s="24"/>
      <c r="W12" s="24"/>
    </row>
    <row r="13" spans="1:23" x14ac:dyDescent="0.3">
      <c r="A13" s="100">
        <v>11</v>
      </c>
      <c r="B13" s="94">
        <v>44485</v>
      </c>
      <c r="C13" s="95" t="s">
        <v>42</v>
      </c>
      <c r="D13" s="93">
        <v>1</v>
      </c>
      <c r="E13" s="95" t="s">
        <v>59</v>
      </c>
      <c r="F13" s="93">
        <v>3</v>
      </c>
      <c r="G13" s="101"/>
      <c r="H13" s="83" t="s">
        <v>64</v>
      </c>
      <c r="I13" s="14">
        <v>6</v>
      </c>
      <c r="J13" s="14">
        <v>5</v>
      </c>
      <c r="P13" s="33">
        <f t="shared" si="0"/>
        <v>-2</v>
      </c>
      <c r="Q13" s="34">
        <f t="shared" si="1"/>
        <v>2</v>
      </c>
      <c r="R13" s="24"/>
      <c r="S13" s="24"/>
      <c r="T13" s="24"/>
      <c r="U13" s="24"/>
      <c r="V13" s="24"/>
      <c r="W13" s="24"/>
    </row>
    <row r="14" spans="1:23" x14ac:dyDescent="0.3">
      <c r="A14" s="100">
        <v>12</v>
      </c>
      <c r="B14" s="94">
        <v>44485</v>
      </c>
      <c r="C14" s="95" t="s">
        <v>4</v>
      </c>
      <c r="D14" s="93">
        <v>8</v>
      </c>
      <c r="E14" s="95" t="s">
        <v>28</v>
      </c>
      <c r="F14" s="93">
        <v>1</v>
      </c>
      <c r="G14" s="101"/>
      <c r="H14" s="83" t="s">
        <v>73</v>
      </c>
      <c r="I14" s="14">
        <v>7</v>
      </c>
      <c r="J14" s="14">
        <v>8</v>
      </c>
      <c r="P14" s="33">
        <f t="shared" si="0"/>
        <v>7</v>
      </c>
      <c r="Q14" s="34">
        <f t="shared" si="1"/>
        <v>7</v>
      </c>
      <c r="R14" s="24"/>
      <c r="S14" s="24"/>
      <c r="T14" s="24"/>
      <c r="U14" s="24"/>
      <c r="V14" s="24"/>
      <c r="W14" s="24"/>
    </row>
    <row r="15" spans="1:23" x14ac:dyDescent="0.3">
      <c r="A15" s="100">
        <v>13</v>
      </c>
      <c r="B15" s="94">
        <v>44491</v>
      </c>
      <c r="C15" s="95" t="s">
        <v>5</v>
      </c>
      <c r="D15" s="93"/>
      <c r="E15" s="95" t="s">
        <v>42</v>
      </c>
      <c r="F15" s="93"/>
      <c r="G15" s="101"/>
      <c r="H15" s="83"/>
      <c r="I15" s="14"/>
      <c r="J15" s="14"/>
      <c r="P15" s="33">
        <f t="shared" si="0"/>
        <v>0</v>
      </c>
      <c r="Q15" s="34">
        <f t="shared" si="1"/>
        <v>0</v>
      </c>
      <c r="R15" s="24"/>
      <c r="S15" s="24"/>
      <c r="T15" s="24"/>
      <c r="U15" s="24"/>
      <c r="V15" s="24"/>
      <c r="W15" s="24"/>
    </row>
    <row r="16" spans="1:23" x14ac:dyDescent="0.3">
      <c r="A16" s="100">
        <v>14</v>
      </c>
      <c r="B16" s="94">
        <v>44491</v>
      </c>
      <c r="C16" s="95" t="s">
        <v>28</v>
      </c>
      <c r="D16" s="93"/>
      <c r="E16" s="95" t="s">
        <v>60</v>
      </c>
      <c r="F16" s="93"/>
      <c r="G16" s="101"/>
      <c r="H16" s="83"/>
      <c r="I16" s="14"/>
      <c r="J16" s="14"/>
      <c r="P16" s="33">
        <f t="shared" si="0"/>
        <v>0</v>
      </c>
      <c r="Q16" s="34">
        <f t="shared" si="1"/>
        <v>0</v>
      </c>
      <c r="R16" s="24"/>
      <c r="S16" s="24"/>
      <c r="T16" s="24"/>
      <c r="U16" s="24"/>
      <c r="V16" s="24"/>
      <c r="W16" s="24"/>
    </row>
    <row r="17" spans="1:23" x14ac:dyDescent="0.3">
      <c r="A17" s="100">
        <v>16</v>
      </c>
      <c r="B17" s="94">
        <v>44492</v>
      </c>
      <c r="C17" s="95" t="s">
        <v>47</v>
      </c>
      <c r="D17" s="93"/>
      <c r="E17" s="95" t="s">
        <v>39</v>
      </c>
      <c r="F17" s="93"/>
      <c r="G17" s="101"/>
      <c r="H17" s="83"/>
      <c r="I17" s="14"/>
      <c r="J17" s="14"/>
      <c r="P17" s="33">
        <f>D17-F17</f>
        <v>0</v>
      </c>
      <c r="Q17" s="34">
        <f>ABS(P17)</f>
        <v>0</v>
      </c>
      <c r="R17" s="24"/>
      <c r="S17" s="24"/>
      <c r="T17" s="24"/>
      <c r="U17" s="24"/>
      <c r="V17" s="24"/>
      <c r="W17" s="24"/>
    </row>
    <row r="18" spans="1:23" x14ac:dyDescent="0.3">
      <c r="A18" s="100">
        <v>15</v>
      </c>
      <c r="B18" s="94">
        <v>44493</v>
      </c>
      <c r="C18" s="95" t="s">
        <v>60</v>
      </c>
      <c r="D18" s="93"/>
      <c r="E18" s="95" t="s">
        <v>4</v>
      </c>
      <c r="F18" s="93"/>
      <c r="G18" s="101"/>
      <c r="H18" s="83"/>
      <c r="I18" s="14"/>
      <c r="J18" s="14"/>
      <c r="P18" s="33">
        <f>D18-F18</f>
        <v>0</v>
      </c>
      <c r="Q18" s="34">
        <f>ABS(P18)</f>
        <v>0</v>
      </c>
      <c r="R18" s="24"/>
      <c r="S18" s="24"/>
      <c r="T18" s="24"/>
      <c r="U18" s="24"/>
      <c r="V18" s="24"/>
      <c r="W18" s="24"/>
    </row>
    <row r="19" spans="1:23" x14ac:dyDescent="0.3">
      <c r="A19" s="100">
        <v>17</v>
      </c>
      <c r="B19" s="94">
        <v>44498</v>
      </c>
      <c r="C19" s="95" t="s">
        <v>47</v>
      </c>
      <c r="D19" s="93"/>
      <c r="E19" s="95" t="s">
        <v>42</v>
      </c>
      <c r="F19" s="93"/>
      <c r="G19" s="101"/>
      <c r="H19" s="83"/>
      <c r="I19" s="14"/>
      <c r="J19" s="14"/>
      <c r="P19" s="33">
        <f t="shared" si="0"/>
        <v>0</v>
      </c>
      <c r="Q19" s="34">
        <f t="shared" si="1"/>
        <v>0</v>
      </c>
      <c r="R19" s="24"/>
      <c r="S19" s="24"/>
      <c r="T19" s="24"/>
      <c r="U19" s="24"/>
      <c r="V19" s="24"/>
      <c r="W19" s="24"/>
    </row>
    <row r="20" spans="1:23" x14ac:dyDescent="0.3">
      <c r="A20" s="100">
        <v>18</v>
      </c>
      <c r="B20" s="94">
        <v>44498</v>
      </c>
      <c r="C20" s="95" t="s">
        <v>5</v>
      </c>
      <c r="D20" s="93"/>
      <c r="E20" s="95" t="s">
        <v>4</v>
      </c>
      <c r="F20" s="93"/>
      <c r="G20" s="101"/>
      <c r="H20" s="83"/>
      <c r="I20" s="14"/>
      <c r="J20" s="14"/>
      <c r="P20" s="33">
        <f t="shared" si="0"/>
        <v>0</v>
      </c>
      <c r="Q20" s="34">
        <f t="shared" si="1"/>
        <v>0</v>
      </c>
      <c r="R20" s="24"/>
      <c r="S20" s="24"/>
      <c r="T20" s="24"/>
      <c r="U20" s="24"/>
      <c r="V20" s="24"/>
      <c r="W20" s="24"/>
    </row>
    <row r="21" spans="1:23" x14ac:dyDescent="0.3">
      <c r="A21" s="100">
        <v>19</v>
      </c>
      <c r="B21" s="94">
        <v>44499</v>
      </c>
      <c r="C21" s="95" t="s">
        <v>4</v>
      </c>
      <c r="D21" s="93"/>
      <c r="E21" s="95" t="s">
        <v>59</v>
      </c>
      <c r="F21" s="93"/>
      <c r="G21" s="101"/>
      <c r="H21" s="83"/>
      <c r="I21" s="14"/>
      <c r="J21" s="14"/>
      <c r="P21" s="33">
        <f t="shared" si="0"/>
        <v>0</v>
      </c>
      <c r="Q21" s="34">
        <f t="shared" si="1"/>
        <v>0</v>
      </c>
      <c r="R21" s="24"/>
      <c r="S21" s="24"/>
      <c r="T21" s="24"/>
      <c r="U21" s="24"/>
      <c r="V21" s="24"/>
      <c r="W21" s="24"/>
    </row>
    <row r="22" spans="1:23" x14ac:dyDescent="0.3">
      <c r="A22" s="100">
        <v>20</v>
      </c>
      <c r="B22" s="94">
        <v>44505</v>
      </c>
      <c r="C22" s="95" t="s">
        <v>60</v>
      </c>
      <c r="D22" s="93"/>
      <c r="E22" s="95" t="s">
        <v>42</v>
      </c>
      <c r="F22" s="93"/>
      <c r="G22" s="101"/>
      <c r="H22" s="83"/>
      <c r="I22" s="14"/>
      <c r="J22" s="14"/>
      <c r="P22" s="33">
        <f t="shared" si="0"/>
        <v>0</v>
      </c>
      <c r="Q22" s="34">
        <f t="shared" si="1"/>
        <v>0</v>
      </c>
      <c r="R22" s="24"/>
      <c r="S22" s="24"/>
      <c r="T22" s="24"/>
      <c r="U22" s="24"/>
      <c r="V22" s="24"/>
      <c r="W22" s="24"/>
    </row>
    <row r="23" spans="1:23" x14ac:dyDescent="0.3">
      <c r="A23" s="100">
        <v>21</v>
      </c>
      <c r="B23" s="94">
        <v>44506</v>
      </c>
      <c r="C23" s="95" t="s">
        <v>47</v>
      </c>
      <c r="D23" s="93"/>
      <c r="E23" s="95" t="s">
        <v>4</v>
      </c>
      <c r="F23" s="93"/>
      <c r="G23" s="101"/>
      <c r="H23" s="83"/>
      <c r="I23" s="14"/>
      <c r="J23" s="14"/>
      <c r="P23" s="33">
        <f t="shared" si="0"/>
        <v>0</v>
      </c>
      <c r="Q23" s="34">
        <f t="shared" si="1"/>
        <v>0</v>
      </c>
      <c r="R23" s="24"/>
      <c r="S23" s="24"/>
      <c r="T23" s="24"/>
      <c r="U23" s="24"/>
      <c r="V23" s="24"/>
      <c r="W23" s="24"/>
    </row>
    <row r="24" spans="1:23" x14ac:dyDescent="0.3">
      <c r="A24" s="100">
        <v>22</v>
      </c>
      <c r="B24" s="94">
        <v>44506</v>
      </c>
      <c r="C24" s="95" t="s">
        <v>39</v>
      </c>
      <c r="D24" s="93"/>
      <c r="E24" s="95" t="s">
        <v>60</v>
      </c>
      <c r="F24" s="93"/>
      <c r="G24" s="101"/>
      <c r="H24" s="83"/>
      <c r="I24" s="14"/>
      <c r="J24" s="14"/>
      <c r="P24" s="33">
        <f t="shared" si="0"/>
        <v>0</v>
      </c>
      <c r="Q24" s="34">
        <f t="shared" si="1"/>
        <v>0</v>
      </c>
      <c r="R24" s="24"/>
      <c r="S24" s="24"/>
      <c r="T24" s="24"/>
      <c r="U24" s="24"/>
      <c r="V24" s="24"/>
      <c r="W24" s="24"/>
    </row>
    <row r="25" spans="1:23" x14ac:dyDescent="0.3">
      <c r="A25" s="100">
        <v>23</v>
      </c>
      <c r="B25" s="94">
        <v>44506</v>
      </c>
      <c r="C25" s="95" t="s">
        <v>42</v>
      </c>
      <c r="D25" s="93"/>
      <c r="E25" s="95" t="s">
        <v>5</v>
      </c>
      <c r="F25" s="93"/>
      <c r="G25" s="101"/>
      <c r="H25" s="83"/>
      <c r="I25" s="14"/>
      <c r="J25" s="14"/>
      <c r="P25" s="33">
        <f t="shared" si="0"/>
        <v>0</v>
      </c>
      <c r="Q25" s="34">
        <f t="shared" si="1"/>
        <v>0</v>
      </c>
      <c r="R25" s="24"/>
      <c r="S25" s="24"/>
      <c r="T25" s="24"/>
      <c r="U25" s="24"/>
      <c r="V25" s="24"/>
      <c r="W25" s="24"/>
    </row>
    <row r="26" spans="1:23" x14ac:dyDescent="0.3">
      <c r="A26" s="100">
        <v>24</v>
      </c>
      <c r="B26" s="94">
        <v>44512</v>
      </c>
      <c r="C26" s="95" t="s">
        <v>59</v>
      </c>
      <c r="D26" s="93"/>
      <c r="E26" s="95" t="s">
        <v>47</v>
      </c>
      <c r="F26" s="93"/>
      <c r="G26" s="101"/>
      <c r="H26" s="83"/>
      <c r="I26" s="14"/>
      <c r="J26" s="14"/>
      <c r="N26">
        <f>LOOKUP(C27,M1:M10,N1:N10)</f>
        <v>3</v>
      </c>
      <c r="P26" s="33">
        <f t="shared" si="0"/>
        <v>0</v>
      </c>
      <c r="Q26" s="34">
        <f t="shared" si="1"/>
        <v>0</v>
      </c>
      <c r="R26" s="24"/>
      <c r="S26" s="24"/>
      <c r="T26" s="24"/>
      <c r="U26" s="24"/>
      <c r="V26" s="24"/>
      <c r="W26" s="24"/>
    </row>
    <row r="27" spans="1:23" x14ac:dyDescent="0.3">
      <c r="A27" s="100">
        <v>25</v>
      </c>
      <c r="B27" s="94">
        <v>44512</v>
      </c>
      <c r="C27" s="95" t="s">
        <v>3</v>
      </c>
      <c r="D27" s="93"/>
      <c r="E27" s="95" t="s">
        <v>42</v>
      </c>
      <c r="F27" s="93"/>
      <c r="G27" s="101"/>
      <c r="H27" s="83"/>
      <c r="I27" s="14"/>
      <c r="J27" s="14"/>
      <c r="O27">
        <f>LOOKUP(E27,M1:M10,N1:N10)</f>
        <v>6</v>
      </c>
      <c r="P27" s="33">
        <f t="shared" si="0"/>
        <v>0</v>
      </c>
      <c r="Q27" s="34">
        <f t="shared" si="1"/>
        <v>0</v>
      </c>
      <c r="R27" s="24"/>
      <c r="S27" s="24"/>
      <c r="T27" s="24"/>
      <c r="U27" s="24"/>
      <c r="V27" s="24"/>
      <c r="W27" s="24"/>
    </row>
    <row r="28" spans="1:23" x14ac:dyDescent="0.3">
      <c r="A28" s="100">
        <v>26</v>
      </c>
      <c r="B28" s="94">
        <v>44512</v>
      </c>
      <c r="C28" s="95" t="s">
        <v>60</v>
      </c>
      <c r="D28" s="93"/>
      <c r="E28" s="95" t="s">
        <v>39</v>
      </c>
      <c r="F28" s="93"/>
      <c r="G28" s="101"/>
      <c r="H28" s="83"/>
      <c r="I28" s="14"/>
      <c r="J28" s="14"/>
      <c r="P28" s="33">
        <f t="shared" ref="P28:P61" si="2">D28-F28</f>
        <v>0</v>
      </c>
      <c r="Q28" s="34">
        <f t="shared" ref="Q28:Q61" si="3">ABS(P28)</f>
        <v>0</v>
      </c>
      <c r="R28" s="24"/>
      <c r="S28" s="24"/>
      <c r="T28" s="24"/>
      <c r="U28" s="24"/>
      <c r="V28" s="24"/>
      <c r="W28" s="24"/>
    </row>
    <row r="29" spans="1:23" x14ac:dyDescent="0.3">
      <c r="A29" s="100">
        <v>27</v>
      </c>
      <c r="B29" s="94">
        <v>44513</v>
      </c>
      <c r="C29" s="95" t="s">
        <v>42</v>
      </c>
      <c r="D29" s="93"/>
      <c r="E29" s="95" t="s">
        <v>4</v>
      </c>
      <c r="F29" s="93"/>
      <c r="G29" s="101"/>
      <c r="H29" s="83"/>
      <c r="I29" s="14"/>
      <c r="J29" s="14"/>
      <c r="P29" s="33">
        <f t="shared" si="2"/>
        <v>0</v>
      </c>
      <c r="Q29" s="34">
        <f t="shared" si="3"/>
        <v>0</v>
      </c>
      <c r="R29" s="24"/>
      <c r="S29" s="24"/>
      <c r="T29" s="24"/>
      <c r="U29" s="24"/>
      <c r="V29" s="24"/>
      <c r="W29" s="24"/>
    </row>
    <row r="30" spans="1:23" x14ac:dyDescent="0.3">
      <c r="A30" s="100">
        <v>28</v>
      </c>
      <c r="B30" s="94">
        <v>44513</v>
      </c>
      <c r="C30" s="95" t="s">
        <v>60</v>
      </c>
      <c r="D30" s="93"/>
      <c r="E30" s="95" t="s">
        <v>59</v>
      </c>
      <c r="F30" s="93"/>
      <c r="G30" s="101"/>
      <c r="H30" s="83"/>
      <c r="I30" s="14"/>
      <c r="J30" s="14"/>
      <c r="P30" s="33">
        <f t="shared" si="2"/>
        <v>0</v>
      </c>
      <c r="Q30" s="34">
        <f t="shared" si="3"/>
        <v>0</v>
      </c>
      <c r="R30" s="24"/>
      <c r="S30" s="24"/>
      <c r="T30" s="24"/>
      <c r="U30" s="24"/>
      <c r="V30" s="24"/>
      <c r="W30" s="24"/>
    </row>
    <row r="31" spans="1:23" x14ac:dyDescent="0.3">
      <c r="A31" s="100">
        <v>29</v>
      </c>
      <c r="B31" s="94">
        <v>44513</v>
      </c>
      <c r="C31" s="95" t="s">
        <v>47</v>
      </c>
      <c r="D31" s="93"/>
      <c r="E31" s="95" t="s">
        <v>28</v>
      </c>
      <c r="F31" s="93"/>
      <c r="G31" s="101"/>
      <c r="H31" s="83"/>
      <c r="I31" s="14"/>
      <c r="J31" s="14"/>
      <c r="P31" s="33">
        <f t="shared" si="2"/>
        <v>0</v>
      </c>
      <c r="Q31" s="34">
        <f t="shared" si="3"/>
        <v>0</v>
      </c>
      <c r="R31" s="24"/>
      <c r="S31" s="24"/>
      <c r="T31" s="24"/>
      <c r="U31" s="24"/>
      <c r="V31" s="24"/>
      <c r="W31" s="24"/>
    </row>
    <row r="32" spans="1:23" x14ac:dyDescent="0.3">
      <c r="A32" s="100">
        <v>30</v>
      </c>
      <c r="B32" s="94">
        <v>44513</v>
      </c>
      <c r="C32" s="95" t="s">
        <v>3</v>
      </c>
      <c r="D32" s="93"/>
      <c r="E32" s="95" t="s">
        <v>5</v>
      </c>
      <c r="F32" s="93"/>
      <c r="G32" s="101"/>
      <c r="H32" s="83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100">
        <v>31</v>
      </c>
      <c r="B33" s="94">
        <v>44514</v>
      </c>
      <c r="C33" s="95" t="s">
        <v>28</v>
      </c>
      <c r="D33" s="93"/>
      <c r="E33" s="95" t="s">
        <v>4</v>
      </c>
      <c r="F33" s="93"/>
      <c r="G33" s="101"/>
      <c r="H33" s="83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100">
        <v>32</v>
      </c>
      <c r="B34" s="94">
        <v>44519</v>
      </c>
      <c r="C34" s="95" t="s">
        <v>47</v>
      </c>
      <c r="D34" s="93"/>
      <c r="E34" s="95" t="s">
        <v>59</v>
      </c>
      <c r="F34" s="93"/>
      <c r="G34" s="101"/>
      <c r="H34" s="83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100">
        <v>33</v>
      </c>
      <c r="B35" s="94">
        <v>44519</v>
      </c>
      <c r="C35" s="95" t="s">
        <v>5</v>
      </c>
      <c r="D35" s="93"/>
      <c r="E35" s="95" t="s">
        <v>3</v>
      </c>
      <c r="F35" s="93"/>
      <c r="G35" s="101"/>
      <c r="H35" s="83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100">
        <v>34</v>
      </c>
      <c r="B36" s="94">
        <v>44520</v>
      </c>
      <c r="C36" s="95" t="s">
        <v>42</v>
      </c>
      <c r="D36" s="93"/>
      <c r="E36" s="95" t="s">
        <v>28</v>
      </c>
      <c r="F36" s="93"/>
      <c r="G36" s="101"/>
      <c r="H36" s="83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100">
        <v>36</v>
      </c>
      <c r="B37" s="94">
        <v>44520</v>
      </c>
      <c r="C37" s="95" t="s">
        <v>4</v>
      </c>
      <c r="D37" s="93"/>
      <c r="E37" s="95" t="s">
        <v>39</v>
      </c>
      <c r="F37" s="93"/>
      <c r="G37" s="101"/>
      <c r="H37" s="83"/>
      <c r="I37" s="14"/>
      <c r="J37" s="14"/>
      <c r="P37" s="33">
        <f t="shared" ref="P37:P48" si="4">D37-F37</f>
        <v>0</v>
      </c>
      <c r="Q37" s="34">
        <f t="shared" ref="Q37:Q48" si="5">ABS(P37)</f>
        <v>0</v>
      </c>
      <c r="R37" s="24"/>
      <c r="S37" s="24"/>
      <c r="T37" s="24"/>
      <c r="U37" s="24"/>
      <c r="V37" s="24"/>
      <c r="W37" s="24"/>
    </row>
    <row r="38" spans="1:23" x14ac:dyDescent="0.3">
      <c r="A38" s="100">
        <v>37</v>
      </c>
      <c r="B38" s="94">
        <v>44520</v>
      </c>
      <c r="C38" s="95" t="s">
        <v>47</v>
      </c>
      <c r="D38" s="93"/>
      <c r="E38" s="95" t="s">
        <v>5</v>
      </c>
      <c r="F38" s="93"/>
      <c r="G38" s="101"/>
      <c r="H38" s="83"/>
      <c r="I38" s="14"/>
      <c r="J38" s="14"/>
      <c r="P38" s="33">
        <f t="shared" si="4"/>
        <v>0</v>
      </c>
      <c r="Q38" s="34">
        <f t="shared" si="5"/>
        <v>0</v>
      </c>
      <c r="R38" s="24"/>
      <c r="S38" s="24"/>
      <c r="T38" s="24"/>
      <c r="U38" s="24"/>
      <c r="V38" s="24"/>
      <c r="W38" s="24"/>
    </row>
    <row r="39" spans="1:23" x14ac:dyDescent="0.3">
      <c r="A39" s="100">
        <v>38</v>
      </c>
      <c r="B39" s="94">
        <v>44533</v>
      </c>
      <c r="C39" s="95" t="s">
        <v>4</v>
      </c>
      <c r="D39" s="93"/>
      <c r="E39" s="95" t="s">
        <v>3</v>
      </c>
      <c r="F39" s="93"/>
      <c r="G39" s="101"/>
      <c r="H39" s="83"/>
      <c r="I39" s="14"/>
      <c r="J39" s="14"/>
      <c r="P39" s="33">
        <f t="shared" si="4"/>
        <v>0</v>
      </c>
      <c r="Q39" s="34">
        <f t="shared" si="5"/>
        <v>0</v>
      </c>
      <c r="R39" s="24"/>
      <c r="S39" s="24"/>
      <c r="T39" s="24"/>
      <c r="U39" s="24"/>
      <c r="V39" s="24"/>
      <c r="W39" s="24"/>
    </row>
    <row r="40" spans="1:23" x14ac:dyDescent="0.3">
      <c r="A40" s="100">
        <v>39</v>
      </c>
      <c r="B40" s="94">
        <v>44534</v>
      </c>
      <c r="C40" s="95" t="s">
        <v>42</v>
      </c>
      <c r="D40" s="93"/>
      <c r="E40" s="95" t="s">
        <v>3</v>
      </c>
      <c r="F40" s="93"/>
      <c r="G40" s="101"/>
      <c r="H40" s="83"/>
      <c r="I40" s="14"/>
      <c r="J40" s="14"/>
      <c r="P40" s="33">
        <f t="shared" si="4"/>
        <v>0</v>
      </c>
      <c r="Q40" s="34">
        <f t="shared" si="5"/>
        <v>0</v>
      </c>
      <c r="R40" s="24"/>
      <c r="S40" s="24"/>
      <c r="T40" s="24"/>
      <c r="U40" s="24"/>
      <c r="V40" s="24"/>
      <c r="W40" s="24"/>
    </row>
    <row r="41" spans="1:23" x14ac:dyDescent="0.3">
      <c r="A41" s="100">
        <v>40</v>
      </c>
      <c r="B41" s="94">
        <v>44534</v>
      </c>
      <c r="C41" s="95" t="s">
        <v>47</v>
      </c>
      <c r="D41" s="93"/>
      <c r="E41" s="95" t="s">
        <v>60</v>
      </c>
      <c r="F41" s="93"/>
      <c r="G41" s="101"/>
      <c r="H41" s="83"/>
      <c r="I41" s="14"/>
      <c r="J41" s="14"/>
      <c r="P41" s="33">
        <f t="shared" si="4"/>
        <v>0</v>
      </c>
      <c r="Q41" s="34">
        <f t="shared" si="5"/>
        <v>0</v>
      </c>
      <c r="R41" s="24"/>
      <c r="S41" s="24"/>
      <c r="T41" s="24"/>
      <c r="U41" s="24"/>
      <c r="V41" s="24"/>
      <c r="W41" s="24"/>
    </row>
    <row r="42" spans="1:23" x14ac:dyDescent="0.3">
      <c r="A42" s="100">
        <v>41</v>
      </c>
      <c r="B42" s="94">
        <v>44534</v>
      </c>
      <c r="C42" s="95" t="s">
        <v>59</v>
      </c>
      <c r="D42" s="93"/>
      <c r="E42" s="95" t="s">
        <v>28</v>
      </c>
      <c r="F42" s="93"/>
      <c r="G42" s="101"/>
      <c r="H42" s="83"/>
      <c r="I42" s="14"/>
      <c r="J42" s="14"/>
      <c r="P42" s="33">
        <f t="shared" si="4"/>
        <v>0</v>
      </c>
      <c r="Q42" s="34">
        <f t="shared" si="5"/>
        <v>0</v>
      </c>
      <c r="R42" s="24"/>
      <c r="S42" s="24"/>
      <c r="T42" s="24"/>
      <c r="U42" s="24"/>
      <c r="V42" s="24"/>
      <c r="W42" s="24"/>
    </row>
    <row r="43" spans="1:23" x14ac:dyDescent="0.3">
      <c r="A43" s="100">
        <v>42</v>
      </c>
      <c r="B43" s="94">
        <v>44534</v>
      </c>
      <c r="C43" s="95" t="s">
        <v>4</v>
      </c>
      <c r="D43" s="93"/>
      <c r="E43" s="95" t="s">
        <v>5</v>
      </c>
      <c r="F43" s="93"/>
      <c r="G43" s="101"/>
      <c r="H43" s="83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100">
        <v>43</v>
      </c>
      <c r="B44" s="94">
        <v>44540</v>
      </c>
      <c r="C44" s="95" t="s">
        <v>5</v>
      </c>
      <c r="D44" s="93"/>
      <c r="E44" s="95" t="s">
        <v>47</v>
      </c>
      <c r="F44" s="93"/>
      <c r="G44" s="101"/>
      <c r="H44" s="83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100">
        <v>35</v>
      </c>
      <c r="B45" s="94">
        <v>44541</v>
      </c>
      <c r="C45" s="95" t="s">
        <v>3</v>
      </c>
      <c r="D45" s="93"/>
      <c r="E45" s="95" t="s">
        <v>60</v>
      </c>
      <c r="F45" s="93"/>
      <c r="G45" s="101"/>
      <c r="H45" s="83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100">
        <v>44</v>
      </c>
      <c r="B46" s="94">
        <v>44541</v>
      </c>
      <c r="C46" s="95" t="s">
        <v>28</v>
      </c>
      <c r="D46" s="93"/>
      <c r="E46" s="95" t="s">
        <v>47</v>
      </c>
      <c r="F46" s="93"/>
      <c r="G46" s="101"/>
      <c r="H46" s="83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100">
        <v>45</v>
      </c>
      <c r="B47" s="94">
        <v>44541</v>
      </c>
      <c r="C47" s="95" t="s">
        <v>59</v>
      </c>
      <c r="D47" s="93"/>
      <c r="E47" s="95" t="s">
        <v>5</v>
      </c>
      <c r="F47" s="93"/>
      <c r="G47" s="101"/>
      <c r="H47" s="83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100">
        <v>46</v>
      </c>
      <c r="B48" s="94">
        <v>44548</v>
      </c>
      <c r="C48" s="95" t="s">
        <v>3</v>
      </c>
      <c r="D48" s="93"/>
      <c r="E48" s="95" t="s">
        <v>28</v>
      </c>
      <c r="F48" s="93"/>
      <c r="G48" s="101"/>
      <c r="H48" s="83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100">
        <v>47</v>
      </c>
      <c r="B49" s="94">
        <v>44576</v>
      </c>
      <c r="C49" s="95" t="s">
        <v>39</v>
      </c>
      <c r="D49" s="93"/>
      <c r="E49" s="95" t="s">
        <v>3</v>
      </c>
      <c r="F49" s="93"/>
      <c r="G49" s="101"/>
      <c r="H49" s="83"/>
      <c r="I49" s="14"/>
      <c r="J49" s="14"/>
      <c r="P49" s="33">
        <f t="shared" si="2"/>
        <v>0</v>
      </c>
      <c r="Q49" s="34">
        <f t="shared" si="3"/>
        <v>0</v>
      </c>
      <c r="R49" s="24"/>
      <c r="S49" s="24"/>
      <c r="T49" s="24"/>
      <c r="U49" s="24"/>
      <c r="V49" s="24"/>
      <c r="W49" s="24"/>
    </row>
    <row r="50" spans="1:23" x14ac:dyDescent="0.3">
      <c r="A50" s="100">
        <v>48</v>
      </c>
      <c r="B50" s="94">
        <v>44582</v>
      </c>
      <c r="C50" s="95" t="s">
        <v>28</v>
      </c>
      <c r="D50" s="93"/>
      <c r="E50" s="95" t="s">
        <v>3</v>
      </c>
      <c r="F50" s="93"/>
      <c r="G50" s="101"/>
      <c r="H50" s="83"/>
      <c r="I50" s="14"/>
      <c r="J50" s="14"/>
      <c r="P50" s="33">
        <f t="shared" si="2"/>
        <v>0</v>
      </c>
      <c r="Q50" s="34">
        <f t="shared" si="3"/>
        <v>0</v>
      </c>
      <c r="R50" s="24"/>
      <c r="S50" s="24"/>
      <c r="T50" s="24"/>
      <c r="U50" s="24"/>
      <c r="V50" s="24"/>
      <c r="W50" s="24"/>
    </row>
    <row r="51" spans="1:23" x14ac:dyDescent="0.3">
      <c r="A51" s="100">
        <v>49</v>
      </c>
      <c r="B51" s="94">
        <v>44582</v>
      </c>
      <c r="C51" s="95" t="s">
        <v>59</v>
      </c>
      <c r="D51" s="93"/>
      <c r="E51" s="95" t="s">
        <v>39</v>
      </c>
      <c r="F51" s="93"/>
      <c r="G51" s="101"/>
      <c r="H51" s="83"/>
      <c r="I51" s="14"/>
      <c r="J51" s="14"/>
      <c r="P51" s="33">
        <f t="shared" si="2"/>
        <v>0</v>
      </c>
      <c r="Q51" s="34">
        <f t="shared" si="3"/>
        <v>0</v>
      </c>
      <c r="R51" s="24"/>
      <c r="S51" s="24"/>
      <c r="T51" s="24"/>
      <c r="U51" s="24"/>
      <c r="V51" s="24"/>
      <c r="W51" s="24"/>
    </row>
    <row r="52" spans="1:23" x14ac:dyDescent="0.3">
      <c r="A52" s="100">
        <v>50</v>
      </c>
      <c r="B52" s="94">
        <v>44583</v>
      </c>
      <c r="C52" s="95" t="s">
        <v>59</v>
      </c>
      <c r="D52" s="93"/>
      <c r="E52" s="95" t="s">
        <v>3</v>
      </c>
      <c r="F52" s="93"/>
      <c r="G52" s="101"/>
      <c r="H52" s="83"/>
      <c r="I52" s="14"/>
      <c r="J52" s="14"/>
      <c r="P52" s="33">
        <f t="shared" si="2"/>
        <v>0</v>
      </c>
      <c r="Q52" s="34">
        <f t="shared" si="3"/>
        <v>0</v>
      </c>
      <c r="R52" s="24"/>
      <c r="S52" s="24"/>
      <c r="T52" s="24"/>
      <c r="U52" s="24"/>
      <c r="V52" s="24"/>
      <c r="W52" s="24"/>
    </row>
    <row r="53" spans="1:23" x14ac:dyDescent="0.3">
      <c r="A53" s="100">
        <v>51</v>
      </c>
      <c r="B53" s="94">
        <v>44583</v>
      </c>
      <c r="C53" s="95" t="s">
        <v>39</v>
      </c>
      <c r="D53" s="93"/>
      <c r="E53" s="95" t="s">
        <v>28</v>
      </c>
      <c r="F53" s="93"/>
      <c r="G53" s="101"/>
      <c r="H53" s="83"/>
      <c r="I53" s="14"/>
      <c r="J53" s="14"/>
      <c r="P53" s="33">
        <f t="shared" si="2"/>
        <v>0</v>
      </c>
      <c r="Q53" s="34">
        <f t="shared" si="3"/>
        <v>0</v>
      </c>
      <c r="R53" s="24"/>
      <c r="S53" s="24"/>
      <c r="T53" s="24"/>
      <c r="U53" s="24"/>
      <c r="V53" s="24"/>
      <c r="W53" s="24"/>
    </row>
    <row r="54" spans="1:23" x14ac:dyDescent="0.3">
      <c r="A54" s="100">
        <v>52</v>
      </c>
      <c r="B54" s="94">
        <v>44589</v>
      </c>
      <c r="C54" s="95" t="s">
        <v>47</v>
      </c>
      <c r="D54" s="93"/>
      <c r="E54" s="95" t="s">
        <v>3</v>
      </c>
      <c r="F54" s="93"/>
      <c r="G54" s="101"/>
      <c r="H54" s="83"/>
      <c r="I54" s="14"/>
      <c r="J54" s="14"/>
      <c r="P54" s="33">
        <f t="shared" si="2"/>
        <v>0</v>
      </c>
      <c r="Q54" s="34">
        <f t="shared" si="3"/>
        <v>0</v>
      </c>
      <c r="R54" s="24"/>
      <c r="S54" s="24"/>
      <c r="T54" s="24"/>
      <c r="U54" s="24"/>
      <c r="V54" s="24"/>
      <c r="W54" s="24"/>
    </row>
    <row r="55" spans="1:23" x14ac:dyDescent="0.3">
      <c r="A55" s="100">
        <v>53</v>
      </c>
      <c r="B55" s="94">
        <v>44589</v>
      </c>
      <c r="C55" s="95" t="s">
        <v>5</v>
      </c>
      <c r="D55" s="93"/>
      <c r="E55" s="95" t="s">
        <v>39</v>
      </c>
      <c r="F55" s="93"/>
      <c r="G55" s="101"/>
      <c r="H55" s="83"/>
      <c r="I55" s="14"/>
      <c r="J55" s="14"/>
      <c r="P55" s="33">
        <f t="shared" si="2"/>
        <v>0</v>
      </c>
      <c r="Q55" s="34">
        <f t="shared" si="3"/>
        <v>0</v>
      </c>
      <c r="R55" s="24"/>
      <c r="S55" s="24"/>
      <c r="T55" s="24"/>
      <c r="U55" s="24"/>
      <c r="V55" s="24"/>
      <c r="W55" s="24"/>
    </row>
    <row r="56" spans="1:23" x14ac:dyDescent="0.3">
      <c r="A56" s="100">
        <v>54</v>
      </c>
      <c r="B56" s="94">
        <v>44590</v>
      </c>
      <c r="C56" s="95" t="s">
        <v>60</v>
      </c>
      <c r="D56" s="93"/>
      <c r="E56" s="95" t="s">
        <v>3</v>
      </c>
      <c r="F56" s="93"/>
      <c r="G56" s="101"/>
      <c r="H56" s="83"/>
      <c r="I56" s="14"/>
      <c r="J56" s="14"/>
      <c r="P56" s="33">
        <f t="shared" si="2"/>
        <v>0</v>
      </c>
      <c r="Q56" s="34">
        <f t="shared" si="3"/>
        <v>0</v>
      </c>
      <c r="R56" s="24"/>
      <c r="S56" s="24"/>
      <c r="T56" s="24"/>
      <c r="U56" s="24"/>
      <c r="V56" s="24"/>
      <c r="W56" s="24"/>
    </row>
    <row r="57" spans="1:23" x14ac:dyDescent="0.3">
      <c r="A57" s="100">
        <v>55</v>
      </c>
      <c r="B57" s="94">
        <v>44590</v>
      </c>
      <c r="C57" s="95" t="s">
        <v>59</v>
      </c>
      <c r="D57" s="93"/>
      <c r="E57" s="95" t="s">
        <v>4</v>
      </c>
      <c r="F57" s="93"/>
      <c r="G57" s="101"/>
      <c r="H57" s="83"/>
      <c r="I57" s="14"/>
      <c r="J57" s="14"/>
      <c r="P57" s="33">
        <f t="shared" si="2"/>
        <v>0</v>
      </c>
      <c r="Q57" s="34">
        <f t="shared" si="3"/>
        <v>0</v>
      </c>
      <c r="R57" s="24"/>
      <c r="S57" s="24"/>
      <c r="T57" s="24"/>
      <c r="U57" s="24"/>
      <c r="V57" s="24"/>
      <c r="W57" s="24"/>
    </row>
    <row r="58" spans="1:23" x14ac:dyDescent="0.3">
      <c r="A58" s="100">
        <v>56</v>
      </c>
      <c r="B58" s="94">
        <v>44590</v>
      </c>
      <c r="C58" s="95" t="s">
        <v>39</v>
      </c>
      <c r="D58" s="93"/>
      <c r="E58" s="95" t="s">
        <v>5</v>
      </c>
      <c r="F58" s="93"/>
      <c r="G58" s="101"/>
      <c r="H58" s="83"/>
      <c r="I58" s="14"/>
      <c r="J58" s="14"/>
      <c r="P58" s="33">
        <f t="shared" si="2"/>
        <v>0</v>
      </c>
      <c r="Q58" s="34">
        <f t="shared" si="3"/>
        <v>0</v>
      </c>
      <c r="R58" s="24"/>
      <c r="S58" s="24"/>
      <c r="T58" s="24"/>
      <c r="U58" s="24"/>
      <c r="V58" s="24"/>
      <c r="W58" s="24"/>
    </row>
    <row r="59" spans="1:23" x14ac:dyDescent="0.3">
      <c r="A59" s="100">
        <v>57</v>
      </c>
      <c r="B59" s="94">
        <v>44591</v>
      </c>
      <c r="C59" s="95" t="s">
        <v>42</v>
      </c>
      <c r="D59" s="93"/>
      <c r="E59" s="95" t="s">
        <v>47</v>
      </c>
      <c r="F59" s="93"/>
      <c r="G59" s="101"/>
      <c r="H59" s="83"/>
      <c r="I59" s="14"/>
      <c r="J59" s="14"/>
      <c r="P59" s="33">
        <f t="shared" si="2"/>
        <v>0</v>
      </c>
      <c r="Q59" s="34">
        <f t="shared" si="3"/>
        <v>0</v>
      </c>
      <c r="R59" s="24"/>
      <c r="S59" s="24"/>
      <c r="T59" s="24"/>
      <c r="U59" s="24"/>
      <c r="V59" s="24"/>
      <c r="W59" s="24"/>
    </row>
    <row r="60" spans="1:23" x14ac:dyDescent="0.3">
      <c r="A60" s="100">
        <v>58</v>
      </c>
      <c r="B60" s="94">
        <v>44596</v>
      </c>
      <c r="C60" s="95" t="s">
        <v>3</v>
      </c>
      <c r="D60" s="93"/>
      <c r="E60" s="95" t="s">
        <v>47</v>
      </c>
      <c r="F60" s="93"/>
      <c r="G60" s="101"/>
      <c r="H60" s="83"/>
      <c r="I60" s="14"/>
      <c r="J60" s="14"/>
      <c r="P60" s="33">
        <f t="shared" si="2"/>
        <v>0</v>
      </c>
      <c r="Q60" s="34">
        <f t="shared" si="3"/>
        <v>0</v>
      </c>
      <c r="R60" s="24"/>
      <c r="S60" s="24"/>
      <c r="T60" s="24"/>
      <c r="U60" s="24"/>
      <c r="V60" s="24"/>
      <c r="W60" s="24"/>
    </row>
    <row r="61" spans="1:23" x14ac:dyDescent="0.3">
      <c r="A61" s="100">
        <v>59</v>
      </c>
      <c r="B61" s="94">
        <v>44596</v>
      </c>
      <c r="C61" s="95" t="s">
        <v>28</v>
      </c>
      <c r="D61" s="93"/>
      <c r="E61" s="95" t="s">
        <v>59</v>
      </c>
      <c r="F61" s="93"/>
      <c r="G61" s="101"/>
      <c r="H61" s="83"/>
      <c r="I61" s="14"/>
      <c r="J61" s="14"/>
      <c r="P61" s="33">
        <f t="shared" si="2"/>
        <v>0</v>
      </c>
      <c r="Q61" s="34">
        <f t="shared" si="3"/>
        <v>0</v>
      </c>
      <c r="R61" s="24"/>
      <c r="S61" s="24"/>
      <c r="T61" s="24"/>
      <c r="U61" s="24"/>
      <c r="V61" s="24"/>
      <c r="W61" s="24"/>
    </row>
    <row r="62" spans="1:23" x14ac:dyDescent="0.3">
      <c r="A62" s="100">
        <v>63</v>
      </c>
      <c r="B62" s="94">
        <v>44596</v>
      </c>
      <c r="C62" s="95" t="s">
        <v>4</v>
      </c>
      <c r="D62" s="93"/>
      <c r="E62" s="95" t="s">
        <v>60</v>
      </c>
      <c r="F62" s="93"/>
      <c r="G62" s="101"/>
      <c r="H62" s="83"/>
      <c r="I62" s="14"/>
      <c r="J62" s="14"/>
      <c r="P62" s="33">
        <f>D62-F62</f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100">
        <v>60</v>
      </c>
      <c r="B63" s="94">
        <v>44597</v>
      </c>
      <c r="C63" s="95" t="s">
        <v>39</v>
      </c>
      <c r="D63" s="93"/>
      <c r="E63" s="95" t="s">
        <v>47</v>
      </c>
      <c r="F63" s="93"/>
      <c r="G63" s="101"/>
      <c r="H63" s="83"/>
      <c r="I63" s="14"/>
      <c r="J63" s="14"/>
      <c r="P63" s="33">
        <f>D63-F63</f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100">
        <v>61</v>
      </c>
      <c r="B64" s="94">
        <v>44597</v>
      </c>
      <c r="C64" s="95" t="s">
        <v>3</v>
      </c>
      <c r="D64" s="93"/>
      <c r="E64" s="95" t="s">
        <v>59</v>
      </c>
      <c r="F64" s="93"/>
      <c r="G64" s="101"/>
      <c r="H64" s="83"/>
      <c r="I64" s="14"/>
      <c r="J64" s="14"/>
      <c r="P64" s="33">
        <f>D64-F64</f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100">
        <v>62</v>
      </c>
      <c r="B65" s="94">
        <v>44597</v>
      </c>
      <c r="C65" s="95" t="s">
        <v>28</v>
      </c>
      <c r="D65" s="93"/>
      <c r="E65" s="95" t="s">
        <v>42</v>
      </c>
      <c r="F65" s="93"/>
      <c r="G65" s="101"/>
      <c r="H65" s="83"/>
      <c r="I65" s="14"/>
      <c r="J65" s="14"/>
      <c r="P65" s="33">
        <f>D65-F65</f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100">
        <v>64</v>
      </c>
      <c r="B66" s="94">
        <v>44597</v>
      </c>
      <c r="C66" s="95" t="s">
        <v>60</v>
      </c>
      <c r="D66" s="93"/>
      <c r="E66" s="95" t="s">
        <v>5</v>
      </c>
      <c r="F66" s="93"/>
      <c r="G66" s="101"/>
      <c r="H66" s="83"/>
      <c r="I66" s="14"/>
      <c r="J66" s="14"/>
      <c r="P66" s="33">
        <f t="shared" si="0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100">
        <v>65</v>
      </c>
      <c r="B67" s="94">
        <v>44598</v>
      </c>
      <c r="C67" s="95" t="s">
        <v>39</v>
      </c>
      <c r="D67" s="93"/>
      <c r="E67" s="95" t="s">
        <v>42</v>
      </c>
      <c r="F67" s="93"/>
      <c r="G67" s="101"/>
      <c r="H67" s="83"/>
      <c r="I67" s="14"/>
      <c r="J67" s="14"/>
      <c r="P67" s="33">
        <f t="shared" si="0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100">
        <v>66</v>
      </c>
      <c r="B68" s="94">
        <v>44603</v>
      </c>
      <c r="C68" s="95" t="s">
        <v>3</v>
      </c>
      <c r="D68" s="93"/>
      <c r="E68" s="95" t="s">
        <v>4</v>
      </c>
      <c r="F68" s="93"/>
      <c r="G68" s="101"/>
      <c r="H68" s="83"/>
      <c r="I68" s="14"/>
      <c r="J68" s="14"/>
      <c r="P68" s="33">
        <f t="shared" si="0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100">
        <v>67</v>
      </c>
      <c r="B69" s="94">
        <v>44603</v>
      </c>
      <c r="C69" s="95" t="s">
        <v>42</v>
      </c>
      <c r="D69" s="93"/>
      <c r="E69" s="95" t="s">
        <v>60</v>
      </c>
      <c r="F69" s="93"/>
      <c r="G69" s="101"/>
      <c r="H69" s="83"/>
      <c r="I69" s="14"/>
      <c r="J69" s="14"/>
      <c r="P69" s="33">
        <f t="shared" si="0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100">
        <v>68</v>
      </c>
      <c r="B70" s="94">
        <v>44603</v>
      </c>
      <c r="C70" s="95" t="s">
        <v>28</v>
      </c>
      <c r="D70" s="93"/>
      <c r="E70" s="95" t="s">
        <v>39</v>
      </c>
      <c r="F70" s="93"/>
      <c r="G70" s="101"/>
      <c r="H70" s="83"/>
      <c r="I70" s="14"/>
      <c r="J70" s="14"/>
      <c r="P70" s="33">
        <f t="shared" si="0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100">
        <v>69</v>
      </c>
      <c r="B71" s="94">
        <v>44604</v>
      </c>
      <c r="C71" s="95" t="s">
        <v>4</v>
      </c>
      <c r="D71" s="93"/>
      <c r="E71" s="95" t="s">
        <v>42</v>
      </c>
      <c r="F71" s="93"/>
      <c r="G71" s="101"/>
      <c r="H71" s="83"/>
      <c r="I71" s="14"/>
      <c r="J71" s="14"/>
      <c r="P71" s="33">
        <f t="shared" si="0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100">
        <v>70</v>
      </c>
      <c r="B72" s="94">
        <v>44604</v>
      </c>
      <c r="C72" s="95" t="s">
        <v>59</v>
      </c>
      <c r="D72" s="93"/>
      <c r="E72" s="95" t="s">
        <v>60</v>
      </c>
      <c r="F72" s="93"/>
      <c r="G72" s="101"/>
      <c r="H72" s="83"/>
      <c r="I72" s="14"/>
      <c r="J72" s="14"/>
      <c r="P72" s="33">
        <f t="shared" si="0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100">
        <v>71</v>
      </c>
      <c r="B73" s="94">
        <v>44604</v>
      </c>
      <c r="C73" s="95" t="s">
        <v>3</v>
      </c>
      <c r="D73" s="93"/>
      <c r="E73" s="95" t="s">
        <v>39</v>
      </c>
      <c r="F73" s="93"/>
      <c r="G73" s="101"/>
      <c r="H73" s="83"/>
      <c r="I73" s="14"/>
      <c r="J73" s="14"/>
      <c r="P73" s="33">
        <f t="shared" si="0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102">
        <v>72</v>
      </c>
      <c r="B74" s="103">
        <v>44604</v>
      </c>
      <c r="C74" s="111" t="s">
        <v>5</v>
      </c>
      <c r="D74" s="105"/>
      <c r="E74" s="111" t="s">
        <v>28</v>
      </c>
      <c r="F74" s="105"/>
      <c r="G74" s="106"/>
      <c r="H74" s="83"/>
      <c r="I74" s="14"/>
      <c r="J74" s="14"/>
      <c r="P74" s="35">
        <f t="shared" si="0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92"/>
      <c r="B75" s="92"/>
      <c r="C75" s="92"/>
      <c r="D75" s="92"/>
      <c r="E75" s="92"/>
      <c r="F75" s="92"/>
      <c r="G75" s="92"/>
      <c r="H75" s="83"/>
      <c r="I75" s="14"/>
      <c r="J75" s="14"/>
      <c r="W75" s="24"/>
    </row>
    <row r="76" spans="1:23" x14ac:dyDescent="0.3">
      <c r="A76" s="97" t="s">
        <v>61</v>
      </c>
      <c r="B76" s="98"/>
      <c r="C76" s="98"/>
      <c r="D76" s="98"/>
      <c r="E76" s="98"/>
      <c r="F76" s="98"/>
      <c r="G76" s="99"/>
      <c r="H76" s="83"/>
      <c r="I76" s="14"/>
      <c r="J76" s="14"/>
      <c r="W76" s="24"/>
    </row>
    <row r="77" spans="1:23" x14ac:dyDescent="0.3">
      <c r="A77" s="100" t="s">
        <v>52</v>
      </c>
      <c r="B77" s="94">
        <v>44611</v>
      </c>
      <c r="C77" s="96"/>
      <c r="D77" s="93"/>
      <c r="E77" s="96"/>
      <c r="F77" s="93"/>
      <c r="G77" s="101"/>
      <c r="H77" s="83"/>
      <c r="I77" s="14"/>
      <c r="J77" s="14"/>
      <c r="W77" s="24"/>
    </row>
    <row r="78" spans="1:23" x14ac:dyDescent="0.3">
      <c r="A78" s="100" t="s">
        <v>53</v>
      </c>
      <c r="B78" s="94">
        <v>44611</v>
      </c>
      <c r="C78" s="96"/>
      <c r="D78" s="93"/>
      <c r="E78" s="96"/>
      <c r="F78" s="93"/>
      <c r="G78" s="101"/>
      <c r="H78" s="83"/>
      <c r="I78" s="14"/>
      <c r="J78" s="14"/>
      <c r="W78" s="24"/>
    </row>
    <row r="79" spans="1:23" ht="15" thickBot="1" x14ac:dyDescent="0.35">
      <c r="A79" s="102" t="s">
        <v>54</v>
      </c>
      <c r="B79" s="103">
        <v>44612</v>
      </c>
      <c r="C79" s="104"/>
      <c r="D79" s="105"/>
      <c r="E79" s="104"/>
      <c r="F79" s="105"/>
      <c r="G79" s="106"/>
      <c r="H79" s="83"/>
      <c r="I79" s="14"/>
      <c r="J79" s="14"/>
      <c r="W79" s="24"/>
    </row>
    <row r="80" spans="1:23" x14ac:dyDescent="0.3">
      <c r="A80" s="89"/>
      <c r="B80" s="90"/>
      <c r="C80" s="89"/>
      <c r="D80" s="89"/>
      <c r="E80" s="89"/>
      <c r="F80" s="89"/>
      <c r="G80" s="91"/>
      <c r="H80" s="83"/>
      <c r="I80" s="14"/>
      <c r="J80" s="14"/>
    </row>
    <row r="81" spans="1:10" x14ac:dyDescent="0.3">
      <c r="A81" s="89"/>
      <c r="B81" s="90"/>
      <c r="C81" s="89"/>
      <c r="D81" s="89"/>
      <c r="E81" s="89"/>
      <c r="F81" s="89"/>
      <c r="G81" s="91"/>
      <c r="H81" s="83"/>
      <c r="I81" s="14"/>
      <c r="J81" s="14"/>
    </row>
    <row r="82" spans="1:10" x14ac:dyDescent="0.3">
      <c r="A82" s="89"/>
      <c r="B82" s="90"/>
      <c r="C82" s="89"/>
      <c r="D82" s="89"/>
      <c r="E82" s="89"/>
      <c r="F82" s="89"/>
      <c r="G82" s="91"/>
      <c r="H82" s="83"/>
      <c r="I82" s="14"/>
      <c r="J82" s="14"/>
    </row>
    <row r="83" spans="1:10" x14ac:dyDescent="0.3">
      <c r="A83" s="89"/>
      <c r="B83" s="90"/>
      <c r="C83" s="89"/>
      <c r="D83" s="89"/>
      <c r="E83" s="89"/>
      <c r="F83" s="89"/>
      <c r="G83" s="91"/>
      <c r="H83" s="83"/>
      <c r="I83" s="14"/>
      <c r="J83" s="14"/>
    </row>
    <row r="84" spans="1:10" x14ac:dyDescent="0.3">
      <c r="A84" s="89"/>
      <c r="B84" s="90"/>
      <c r="C84" s="89"/>
      <c r="D84" s="89"/>
      <c r="E84" s="89"/>
      <c r="F84" s="89"/>
      <c r="G84" s="91"/>
      <c r="H84" s="83"/>
      <c r="I84" s="14"/>
      <c r="J84" s="14"/>
    </row>
    <row r="85" spans="1:10" x14ac:dyDescent="0.3">
      <c r="A85" s="89"/>
      <c r="B85" s="90"/>
      <c r="C85" s="89"/>
      <c r="D85" s="89"/>
      <c r="E85" s="89"/>
      <c r="F85" s="89"/>
      <c r="G85" s="91"/>
      <c r="H85" s="83"/>
      <c r="I85" s="14"/>
      <c r="J85" s="14"/>
    </row>
    <row r="86" spans="1:10" x14ac:dyDescent="0.3">
      <c r="A86" s="89"/>
      <c r="B86" s="90"/>
      <c r="C86" s="89"/>
      <c r="D86" s="89"/>
      <c r="E86" s="89"/>
      <c r="F86" s="89"/>
      <c r="G86" s="91"/>
      <c r="H86" s="83"/>
      <c r="I86" s="14"/>
      <c r="J86" s="14"/>
    </row>
    <row r="87" spans="1:10" x14ac:dyDescent="0.3">
      <c r="A87" s="89"/>
      <c r="B87" s="90"/>
      <c r="C87" s="89"/>
      <c r="D87" s="89"/>
      <c r="E87" s="89"/>
      <c r="F87" s="89"/>
      <c r="G87" s="91"/>
      <c r="H87" s="83"/>
      <c r="I87" s="14"/>
      <c r="J87" s="14"/>
    </row>
    <row r="88" spans="1:10" x14ac:dyDescent="0.3">
      <c r="A88" s="89"/>
      <c r="B88" s="90"/>
      <c r="C88" s="89"/>
      <c r="D88" s="89"/>
      <c r="E88" s="89"/>
      <c r="F88" s="89"/>
      <c r="G88" s="91"/>
      <c r="H88" s="83"/>
      <c r="I88" s="14"/>
      <c r="J88" s="14"/>
    </row>
    <row r="89" spans="1:10" x14ac:dyDescent="0.3">
      <c r="A89" s="89"/>
      <c r="B89" s="90"/>
      <c r="C89" s="89"/>
      <c r="D89" s="89"/>
      <c r="E89" s="89"/>
      <c r="F89" s="89"/>
      <c r="G89" s="91"/>
      <c r="H89" s="83"/>
      <c r="I89" s="14"/>
      <c r="J89" s="14"/>
    </row>
    <row r="90" spans="1:10" x14ac:dyDescent="0.3">
      <c r="A90" s="84"/>
      <c r="B90" s="85"/>
      <c r="C90" s="86"/>
      <c r="D90" s="87"/>
      <c r="E90" s="86"/>
      <c r="F90" s="87"/>
      <c r="G90" s="88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96</v>
      </c>
    </row>
    <row r="113" spans="4:6" x14ac:dyDescent="0.3">
      <c r="D113" s="1">
        <f>SUM(D3:D111)</f>
        <v>50</v>
      </c>
      <c r="F113" s="1">
        <f>SUM(F3:F111)</f>
        <v>46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2021-10-19T15:03:53Z</dcterms:modified>
</cp:coreProperties>
</file>