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260" documentId="8_{970098D5-2AA6-4EE8-9507-3C4E4A614472}" xr6:coauthVersionLast="47" xr6:coauthVersionMax="47" xr10:uidLastSave="{DE8782DE-FA54-4698-9D91-F30AEF78E8EC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<sst xmlns="http://schemas.openxmlformats.org/spreadsheetml/2006/main" count="333" uniqueCount="71">
  <si>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</si>
  <si>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</si>
  <si>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</si>
  <si>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</si>
  <si>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</si>
  <si>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</si>
  <si>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</si>
  <si>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</si>
  <si>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</si>
  <si>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</si>
  <si>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</si>
  <si>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</si>
  <si>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</si>
  <si>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</si>
  <si>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</si>
  <si>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</si>
  <si>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</si>
  <si>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</si>
  <si>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</si>
  <si>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</si>
  <si>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</si>
  <si>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</si>
  <si>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</si>
  <si>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</si>
  <si>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</si>
  <si>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</si>
  <si>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</si>
  <si>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</si>
  <si>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</si>
  <si>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</si>
  <si>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</si>
  <si>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</si>
  <si>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</si>
  <si>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</si>
  <si>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</si>
  <si>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</si>
  <si>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</si>
  <si>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</si>
  <si>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</si>
  <si>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</si>
  <si>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</si>
  <si>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</si>
  <si>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</si>
  <si>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</si>
  <si>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</si>
  <si>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</si>
  <si>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</si>
  <si>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</si>
  <si>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</si>
  <si>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</si>
  <si>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</si>
  <si>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</si>
  <si>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</si>
  <si>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</si>
  <si>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</si>
  <si>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</si>
  <si>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</si>
  <si>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</si>
  <si>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</si>
  <si>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</si>
  <si>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</si>
  <si>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</si>
  <si>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</si>
  <si>
    <t>TBA</t>
  </si>
  <si>
    <t>Sacred Heart (Home) Wins</t>
  </si>
  <si>
    <t>*</t>
  </si>
  <si>
    <t>Sacred Heart (Away) Wins</t>
  </si>
  <si>
    <t>Columbia (Away) Wins</t>
  </si>
  <si>
    <t>Stevens in OT/SO</t>
  </si>
  <si>
    <t>Farmingdale (Away) Wins</t>
  </si>
  <si>
    <t>St. Thomas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</si>
</sst>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3" fillId="3" borderId="17" xfId="0" applyFont="1" applyFill="1" applyBorder="1"/>
    <xf numFmtId="0" fontId="13" fillId="3" borderId="18" xfId="0" applyFont="1" applyFill="1" applyBorder="1"/>
    <xf numFmtId="0" fontId="13" fillId="3" borderId="22" xfId="0" applyFont="1" applyFill="1" applyBorder="1"/>
    <xf numFmtId="0" fontId="13" fillId="3" borderId="23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3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0" fillId="4" borderId="0" xfId="0" applyFill="1"/>
    <xf numFmtId="0" fontId="23" fillId="0" borderId="10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22" fillId="2" borderId="28" xfId="0" applyFont="1" applyFill="1" applyBorder="1" applyAlignment="1">
      <alignment horizontal="center" vertical="center"/>
    </xf>
    <xf numFmtId="1" fontId="11" fillId="2" borderId="29" xfId="0" applyNumberFormat="1" applyFont="1" applyFill="1" applyBorder="1" applyAlignment="1">
      <alignment horizontal="center" vertical="center"/>
    </xf>
    <xf numFmtId="1" fontId="11" fillId="2" borderId="30" xfId="0" applyNumberFormat="1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1" fontId="11" fillId="2" borderId="7" xfId="0" applyNumberFormat="1" applyFont="1" applyFill="1" applyBorder="1" applyAlignment="1">
      <alignment horizontal="center" vertical="center"/>
    </xf>
    <xf numFmtId="1" fontId="11" fillId="2" borderId="32" xfId="0" applyNumberFormat="1" applyFont="1" applyFill="1" applyBorder="1" applyAlignment="1">
      <alignment horizontal="center" vertical="center"/>
    </xf>
    <xf numFmtId="1" fontId="11" fillId="2" borderId="9" xfId="0" applyNumberFormat="1" applyFont="1" applyFill="1" applyBorder="1" applyAlignment="1">
      <alignment horizontal="center" vertical="center"/>
    </xf>
    <xf numFmtId="1" fontId="11" fillId="2" borderId="33" xfId="0" applyNumberFormat="1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horizontal="center" vertical="center"/>
    </xf>
    <xf numFmtId="1" fontId="11" fillId="2" borderId="27" xfId="0" applyNumberFormat="1" applyFont="1" applyFill="1" applyBorder="1" applyAlignment="1">
      <alignment horizontal="center" vertical="center"/>
    </xf>
    <xf numFmtId="1" fontId="11" fillId="2" borderId="35" xfId="0" applyNumberFormat="1" applyFont="1" applyFill="1" applyBorder="1" applyAlignment="1">
      <alignment horizontal="center" vertical="center"/>
    </xf>
    <xf numFmtId="0" fontId="22" fillId="2" borderId="36" xfId="0" applyFont="1" applyFill="1" applyBorder="1" applyAlignment="1">
      <alignment horizontal="center" vertical="center"/>
    </xf>
    <xf numFmtId="1" fontId="11" fillId="2" borderId="11" xfId="0" applyNumberFormat="1" applyFont="1" applyFill="1" applyBorder="1" applyAlignment="1">
      <alignment horizontal="center" vertical="center"/>
    </xf>
    <xf numFmtId="1" fontId="11" fillId="2" borderId="3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6" xfId="0" applyFont="1" applyFill="1" applyBorder="1" applyAlignment="1">
      <alignment horizontal="right"/>
    </xf>
    <xf numFmtId="0" fontId="13" fillId="3" borderId="17" xfId="0" applyFont="1" applyFill="1" applyBorder="1" applyAlignment="1">
      <alignment horizontal="right"/>
    </xf>
    <xf numFmtId="0" fontId="13" fillId="3" borderId="21" xfId="0" applyFont="1" applyFill="1" applyBorder="1" applyAlignment="1">
      <alignment horizontal="right"/>
    </xf>
    <xf numFmtId="0" fontId="13" fillId="3" borderId="22" xfId="0" applyFont="1" applyFill="1" applyBorder="1" applyAlignment="1">
      <alignment horizontal="right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W18" sqref="W18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2" style="1" customWidth="1"/>
    <col min="4" max="4" width="3.33203125" style="1" bestFit="1" customWidth="1"/>
    <col min="5" max="6" width="3.441406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</row>
    <row r="3" spans="1:16" ht="18.600000000000001" thickBot="1" x14ac:dyDescent="0.35">
      <c r="A3" s="80"/>
      <c r="B3" s="46"/>
      <c r="C3" s="57" t="s">
        <v>6</v>
      </c>
      <c r="D3" s="58" t="s">
        <v>11</v>
      </c>
      <c r="E3" s="58" t="s">
        <v>43</v>
      </c>
      <c r="F3" s="58" t="s">
        <v>44</v>
      </c>
      <c r="G3" s="58" t="s">
        <v>7</v>
      </c>
      <c r="H3" s="58" t="s">
        <v>8</v>
      </c>
      <c r="I3" s="58" t="s">
        <v>9</v>
      </c>
      <c r="J3" s="59" t="s">
        <v>10</v>
      </c>
      <c r="K3" s="80"/>
      <c r="M3" s="75" t="s">
        <v>18</v>
      </c>
      <c r="N3" s="76"/>
      <c r="O3" s="76"/>
      <c r="P3" s="76"/>
    </row>
    <row r="4" spans="1:16" ht="18" customHeight="1" x14ac:dyDescent="0.3">
      <c r="A4" s="80"/>
      <c r="B4" s="54">
        <v>1</v>
      </c>
      <c r="C4" s="61" t="s">
        <v>59</v>
      </c>
      <c r="D4" s="62">
        <v>3</v>
      </c>
      <c r="E4" s="62">
        <v>3</v>
      </c>
      <c r="F4" s="62">
        <v>0</v>
      </c>
      <c r="G4" s="62">
        <v>0</v>
      </c>
      <c r="H4" s="62">
        <v>6</v>
      </c>
      <c r="I4" s="62">
        <v>25</v>
      </c>
      <c r="J4" s="63">
        <v>13</v>
      </c>
      <c r="K4" s="80"/>
      <c r="M4" s="4">
        <v>1</v>
      </c>
      <c r="N4" t="s">
        <v>19</v>
      </c>
    </row>
    <row r="5" spans="1:16" ht="18" customHeight="1" x14ac:dyDescent="0.3">
      <c r="A5" s="80"/>
      <c r="B5" s="55">
        <v>2</v>
      </c>
      <c r="C5" s="64" t="s">
        <v>4</v>
      </c>
      <c r="D5" s="65">
        <v>1</v>
      </c>
      <c r="E5" s="65">
        <v>1</v>
      </c>
      <c r="F5" s="65">
        <v>0</v>
      </c>
      <c r="G5" s="65">
        <v>0</v>
      </c>
      <c r="H5" s="65">
        <v>2</v>
      </c>
      <c r="I5" s="65">
        <v>2</v>
      </c>
      <c r="J5" s="66">
        <v>1</v>
      </c>
      <c r="K5" s="80"/>
      <c r="M5" s="4">
        <v>2</v>
      </c>
      <c r="N5" t="s">
        <v>20</v>
      </c>
    </row>
    <row r="6" spans="1:16" ht="18" customHeight="1" x14ac:dyDescent="0.3">
      <c r="A6" s="80"/>
      <c r="B6" s="56">
        <v>3</v>
      </c>
      <c r="C6" s="64" t="s">
        <v>5</v>
      </c>
      <c r="D6" s="67">
        <v>2</v>
      </c>
      <c r="E6" s="67">
        <v>1</v>
      </c>
      <c r="F6" s="67">
        <v>1</v>
      </c>
      <c r="G6" s="67">
        <v>0</v>
      </c>
      <c r="H6" s="67">
        <v>2</v>
      </c>
      <c r="I6" s="67">
        <v>12</v>
      </c>
      <c r="J6" s="68">
        <v>11</v>
      </c>
      <c r="K6" s="80"/>
      <c r="M6" s="4">
        <v>3</v>
      </c>
      <c r="N6" t="s">
        <v>21</v>
      </c>
    </row>
    <row r="7" spans="1:16" ht="18" customHeight="1" thickBot="1" x14ac:dyDescent="0.35">
      <c r="A7" s="80"/>
      <c r="B7" s="60">
        <v>4</v>
      </c>
      <c r="C7" s="69" t="s">
        <v>30</v>
      </c>
      <c r="D7" s="70">
        <v>2</v>
      </c>
      <c r="E7" s="70">
        <v>1</v>
      </c>
      <c r="F7" s="70">
        <v>1</v>
      </c>
      <c r="G7" s="70">
        <v>0</v>
      </c>
      <c r="H7" s="70">
        <v>2</v>
      </c>
      <c r="I7" s="70">
        <v>11</v>
      </c>
      <c r="J7" s="71">
        <v>10</v>
      </c>
      <c r="K7" s="80"/>
      <c r="M7" s="4">
        <v>4</v>
      </c>
      <c r="N7" t="s">
        <v>23</v>
      </c>
    </row>
    <row r="8" spans="1:16" ht="18" customHeight="1" x14ac:dyDescent="0.3">
      <c r="A8" s="80"/>
      <c r="B8" s="54">
        <v>5</v>
      </c>
      <c r="C8" s="72" t="s">
        <v>60</v>
      </c>
      <c r="D8" s="73">
        <v>2</v>
      </c>
      <c r="E8" s="73">
        <v>1</v>
      </c>
      <c r="F8" s="73">
        <v>1</v>
      </c>
      <c r="G8" s="73">
        <v>0</v>
      </c>
      <c r="H8" s="73">
        <v>2</v>
      </c>
      <c r="I8" s="73">
        <v>11</v>
      </c>
      <c r="J8" s="74">
        <v>13</v>
      </c>
      <c r="K8" s="80"/>
      <c r="M8" s="4">
        <v>5</v>
      </c>
      <c r="N8" t="s">
        <v>25</v>
      </c>
    </row>
    <row r="9" spans="1:16" ht="18" customHeight="1" x14ac:dyDescent="0.3">
      <c r="A9" s="80"/>
      <c r="B9" s="55">
        <v>6</v>
      </c>
      <c r="C9" s="64" t="s">
        <v>47</v>
      </c>
      <c r="D9" s="65">
        <v>1</v>
      </c>
      <c r="E9" s="65">
        <v>0</v>
      </c>
      <c r="F9" s="65">
        <v>0</v>
      </c>
      <c r="G9" s="65">
        <v>1</v>
      </c>
      <c r="H9" s="65">
        <v>1</v>
      </c>
      <c r="I9" s="65">
        <v>1</v>
      </c>
      <c r="J9" s="66">
        <v>2</v>
      </c>
      <c r="K9" s="80"/>
    </row>
    <row r="10" spans="1:16" ht="18" customHeight="1" x14ac:dyDescent="0.3">
      <c r="A10" s="80"/>
      <c r="B10" s="55">
        <v>7</v>
      </c>
      <c r="C10" s="64" t="s">
        <v>3</v>
      </c>
      <c r="D10" s="65">
        <v>0</v>
      </c>
      <c r="E10" s="65">
        <v>0</v>
      </c>
      <c r="F10" s="65">
        <v>0</v>
      </c>
      <c r="G10" s="65">
        <v>0</v>
      </c>
      <c r="H10" s="65">
        <v>0</v>
      </c>
      <c r="I10" s="65">
        <v>0</v>
      </c>
      <c r="J10" s="66">
        <v>0</v>
      </c>
      <c r="K10" s="80"/>
      <c r="M10" t="s">
        <v>22</v>
      </c>
    </row>
    <row r="11" spans="1:16" ht="18" customHeight="1" thickBot="1" x14ac:dyDescent="0.35">
      <c r="A11" s="80"/>
      <c r="B11" s="55">
        <v>8</v>
      </c>
      <c r="C11" s="64" t="s">
        <v>28</v>
      </c>
      <c r="D11" s="65">
        <v>1</v>
      </c>
      <c r="E11" s="65">
        <v>0</v>
      </c>
      <c r="F11" s="65">
        <v>1</v>
      </c>
      <c r="G11" s="65">
        <v>0</v>
      </c>
      <c r="H11" s="65">
        <v>0</v>
      </c>
      <c r="I11" s="65">
        <v>6</v>
      </c>
      <c r="J11" s="66">
        <v>7</v>
      </c>
      <c r="K11" s="80"/>
    </row>
    <row r="12" spans="1:16" ht="16.8" thickTop="1" thickBot="1" x14ac:dyDescent="0.35">
      <c r="A12" s="80"/>
      <c r="B12" s="55">
        <v>9</v>
      </c>
      <c r="C12" s="69" t="s">
        <v>39</v>
      </c>
      <c r="D12" s="70">
        <v>2</v>
      </c>
      <c r="E12" s="70">
        <v>0</v>
      </c>
      <c r="F12" s="70">
        <v>2</v>
      </c>
      <c r="G12" s="70">
        <v>0</v>
      </c>
      <c r="H12" s="70">
        <v>0</v>
      </c>
      <c r="I12" s="70">
        <v>8</v>
      </c>
      <c r="J12" s="71">
        <v>19</v>
      </c>
      <c r="K12" s="80"/>
      <c r="M12" s="77" t="s">
        <v>24</v>
      </c>
      <c r="N12" s="77"/>
      <c r="O12" s="77"/>
      <c r="P12" s="5">
        <v>9</v>
      </c>
    </row>
    <row r="13" spans="1:16" ht="24.9" customHeight="1" x14ac:dyDescent="0.3"/>
    <row r="14" spans="1:16" x14ac:dyDescent="0.3">
      <c r="G14" s="78" t="s">
        <v>26</v>
      </c>
      <c r="H14" s="78"/>
      <c r="I14" s="7">
        <f>SUM(I4:I12)</f>
        <v>76</v>
      </c>
      <c r="J14" s="7">
        <f>SUM(J4:J12)</f>
        <v>76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0889" divId="MCHC 2021-22 Standings Worksheet_30889" sourceType="range" sourceRef="C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" zoomScaleNormal="100" workbookViewId="0">
      <selection activeCell="A2" sqref="A2:G79"/>
    </sheetView>
  </sheetViews>
  <sheetFormatPr defaultRowHeight="14.4" x14ac:dyDescent="0.3"/>
  <cols>
    <col min="1" max="1" width="3.44140625" style="1" bestFit="1" customWidth="1"/>
    <col min="2" max="2" width="11.33203125" style="23" customWidth="1"/>
    <col min="3" max="3" width="10.5546875" style="47" bestFit="1" customWidth="1"/>
    <col min="4" max="4" width="4" style="1" bestFit="1" customWidth="1"/>
    <col min="5" max="5" width="10.5546875" style="47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3" t="s">
        <v>62</v>
      </c>
      <c r="R1" s="81" t="s">
        <v>55</v>
      </c>
      <c r="S1" s="82"/>
      <c r="T1" s="39">
        <f>MAX(A:A)</f>
        <v>72</v>
      </c>
      <c r="U1" s="40"/>
    </row>
    <row r="2" spans="1:23" ht="15.6" thickTop="1" thickBot="1" x14ac:dyDescent="0.35">
      <c r="A2" s="43" t="s">
        <v>13</v>
      </c>
      <c r="B2" s="44" t="s">
        <v>12</v>
      </c>
      <c r="C2" s="48" t="s">
        <v>1</v>
      </c>
      <c r="D2" s="43" t="s">
        <v>45</v>
      </c>
      <c r="E2" s="48" t="s">
        <v>0</v>
      </c>
      <c r="F2" s="43" t="s">
        <v>45</v>
      </c>
      <c r="G2" s="45" t="s">
        <v>14</v>
      </c>
      <c r="H2" s="3"/>
      <c r="M2" s="6" t="s">
        <v>57</v>
      </c>
      <c r="N2" s="6">
        <v>2</v>
      </c>
      <c r="P2" s="33" t="s">
        <v>48</v>
      </c>
      <c r="Q2" s="38" t="s">
        <v>49</v>
      </c>
      <c r="R2" s="83" t="s">
        <v>56</v>
      </c>
      <c r="S2" s="84"/>
      <c r="T2" s="41">
        <f>SUM(T3:T7)</f>
        <v>7</v>
      </c>
      <c r="U2" s="42"/>
      <c r="W2" s="25"/>
    </row>
    <row r="3" spans="1:23" ht="15.6" thickTop="1" thickBot="1" x14ac:dyDescent="0.35">
      <c r="A3" s="16">
        <v>1</v>
      </c>
      <c r="B3" s="20">
        <v>44471</v>
      </c>
      <c r="C3" s="52" t="s">
        <v>39</v>
      </c>
      <c r="D3" s="16">
        <v>4</v>
      </c>
      <c r="E3" s="52" t="s">
        <v>59</v>
      </c>
      <c r="F3" s="16">
        <v>12</v>
      </c>
      <c r="G3" s="18"/>
      <c r="H3" s="13" t="s">
        <v>64</v>
      </c>
      <c r="I3" s="14">
        <v>4</v>
      </c>
      <c r="J3" s="14">
        <v>5</v>
      </c>
      <c r="M3" s="19" t="s">
        <v>38</v>
      </c>
      <c r="N3" s="6">
        <v>3</v>
      </c>
      <c r="P3" s="34">
        <f>D3-F3</f>
        <v>-8</v>
      </c>
      <c r="Q3" s="25">
        <f>ABS(P3)</f>
        <v>8</v>
      </c>
      <c r="R3" s="24">
        <v>1</v>
      </c>
      <c r="S3" s="25" t="s">
        <v>51</v>
      </c>
      <c r="T3" s="25">
        <f>COUNTIF($Q$3:$Q$74,R3)</f>
        <v>2</v>
      </c>
      <c r="U3" s="29">
        <f>IF($T$2&gt;0, T3/$T$2, 0)</f>
        <v>0.2857142857142857</v>
      </c>
      <c r="V3" s="25"/>
      <c r="W3" s="25"/>
    </row>
    <row r="4" spans="1:23" ht="15.6" thickTop="1" thickBot="1" x14ac:dyDescent="0.35">
      <c r="A4" s="16">
        <v>2</v>
      </c>
      <c r="B4" s="20" t="s">
        <v>63</v>
      </c>
      <c r="C4" s="52" t="s">
        <v>28</v>
      </c>
      <c r="D4" s="16"/>
      <c r="E4" s="52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4">
        <f t="shared" ref="P4:P74" si="0">D4-F4</f>
        <v>0</v>
      </c>
      <c r="Q4" s="25">
        <f t="shared" ref="Q4:Q74" si="1">ABS(P4)</f>
        <v>0</v>
      </c>
      <c r="R4" s="24">
        <v>2</v>
      </c>
      <c r="S4" s="25" t="s">
        <v>51</v>
      </c>
      <c r="T4" s="25">
        <f>COUNTIF($Q$3:$Q$74,R4)</f>
        <v>2</v>
      </c>
      <c r="U4" s="29">
        <f>IF($T$2&gt;0, T4/$T$2, 0)</f>
        <v>0.2857142857142857</v>
      </c>
      <c r="V4" s="25"/>
      <c r="W4" s="25"/>
    </row>
    <row r="5" spans="1:23" ht="15.6" thickTop="1" thickBot="1" x14ac:dyDescent="0.35">
      <c r="A5" s="16">
        <v>3</v>
      </c>
      <c r="B5" s="20" t="s">
        <v>63</v>
      </c>
      <c r="C5" s="52" t="s">
        <v>39</v>
      </c>
      <c r="D5" s="16"/>
      <c r="E5" s="52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4">
        <f t="shared" si="0"/>
        <v>0</v>
      </c>
      <c r="Q5" s="25">
        <f t="shared" si="1"/>
        <v>0</v>
      </c>
      <c r="R5" s="24">
        <v>3</v>
      </c>
      <c r="S5" s="25" t="s">
        <v>51</v>
      </c>
      <c r="T5" s="25">
        <f>COUNTIF($Q$3:$Q$74,R5)</f>
        <v>2</v>
      </c>
      <c r="U5" s="29">
        <f>IF($T$2&gt;0, T5/$T$2, 0)</f>
        <v>0.2857142857142857</v>
      </c>
      <c r="V5" s="25"/>
      <c r="W5" s="25"/>
    </row>
    <row r="6" spans="1:23" ht="15.6" thickTop="1" thickBot="1" x14ac:dyDescent="0.35">
      <c r="A6" s="16">
        <v>4</v>
      </c>
      <c r="B6" s="20">
        <v>44477</v>
      </c>
      <c r="C6" s="52" t="s">
        <v>59</v>
      </c>
      <c r="D6" s="16">
        <v>6</v>
      </c>
      <c r="E6" s="52" t="s">
        <v>42</v>
      </c>
      <c r="F6" s="16">
        <v>4</v>
      </c>
      <c r="G6" s="18"/>
      <c r="H6" s="13" t="s">
        <v>66</v>
      </c>
      <c r="I6" s="14">
        <v>5</v>
      </c>
      <c r="J6" s="14">
        <v>6</v>
      </c>
      <c r="M6" s="6" t="s">
        <v>41</v>
      </c>
      <c r="N6" s="6">
        <v>6</v>
      </c>
      <c r="P6" s="34">
        <f t="shared" si="0"/>
        <v>2</v>
      </c>
      <c r="Q6" s="25">
        <f t="shared" si="1"/>
        <v>2</v>
      </c>
      <c r="R6" s="30">
        <v>4</v>
      </c>
      <c r="S6" s="25" t="s">
        <v>51</v>
      </c>
      <c r="T6" s="25">
        <f>COUNTIF($Q$3:$Q$74,R6)</f>
        <v>0</v>
      </c>
      <c r="U6" s="29">
        <f>IF($T$2&gt;0, T6/$T$2, 0)</f>
        <v>0</v>
      </c>
      <c r="V6" s="25"/>
      <c r="W6" s="25"/>
    </row>
    <row r="7" spans="1:23" ht="15.6" thickTop="1" thickBot="1" x14ac:dyDescent="0.35">
      <c r="A7" s="16">
        <v>5</v>
      </c>
      <c r="B7" s="20">
        <v>44477</v>
      </c>
      <c r="C7" s="52" t="s">
        <v>5</v>
      </c>
      <c r="D7" s="16">
        <v>7</v>
      </c>
      <c r="E7" s="52" t="s">
        <v>60</v>
      </c>
      <c r="F7" s="16">
        <v>4</v>
      </c>
      <c r="G7" s="18"/>
      <c r="H7" s="13" t="s">
        <v>67</v>
      </c>
      <c r="I7" s="14">
        <v>1</v>
      </c>
      <c r="J7" s="14">
        <v>2</v>
      </c>
      <c r="M7" s="6" t="s">
        <v>36</v>
      </c>
      <c r="N7" s="6">
        <v>7</v>
      </c>
      <c r="P7" s="34">
        <f t="shared" si="0"/>
        <v>3</v>
      </c>
      <c r="Q7" s="25">
        <f t="shared" si="1"/>
        <v>3</v>
      </c>
      <c r="R7" s="31" t="s">
        <v>50</v>
      </c>
      <c r="S7" s="27" t="s">
        <v>51</v>
      </c>
      <c r="T7" s="27">
        <f>COUNTIF($Q$3:$Q$74,"&gt;=5")</f>
        <v>1</v>
      </c>
      <c r="U7" s="32">
        <f>IF($T$2&gt;0, T7/$T$2, 0)</f>
        <v>0.14285714285714285</v>
      </c>
      <c r="V7" s="25"/>
      <c r="W7" s="25"/>
    </row>
    <row r="8" spans="1:23" ht="15.6" thickTop="1" thickBot="1" x14ac:dyDescent="0.35">
      <c r="A8" s="16">
        <v>6</v>
      </c>
      <c r="B8" s="20">
        <v>44477</v>
      </c>
      <c r="C8" s="52" t="s">
        <v>4</v>
      </c>
      <c r="D8" s="16">
        <v>2</v>
      </c>
      <c r="E8" s="52" t="s">
        <v>47</v>
      </c>
      <c r="F8" s="16">
        <v>1</v>
      </c>
      <c r="G8" s="18" t="s">
        <v>65</v>
      </c>
      <c r="H8" s="13" t="s">
        <v>68</v>
      </c>
      <c r="I8" s="14">
        <v>7</v>
      </c>
      <c r="J8" s="14">
        <v>9</v>
      </c>
      <c r="M8" s="6" t="s">
        <v>35</v>
      </c>
      <c r="N8" s="6">
        <v>8</v>
      </c>
      <c r="P8" s="34">
        <f t="shared" si="0"/>
        <v>1</v>
      </c>
      <c r="Q8" s="35">
        <f t="shared" si="1"/>
        <v>1</v>
      </c>
      <c r="R8" s="25"/>
      <c r="S8" s="25"/>
      <c r="T8" s="25"/>
      <c r="U8" s="28">
        <f>SUM(U3:U7)</f>
        <v>1</v>
      </c>
      <c r="V8" s="25"/>
      <c r="W8" s="25"/>
    </row>
    <row r="9" spans="1:23" ht="15.6" thickTop="1" thickBot="1" x14ac:dyDescent="0.35">
      <c r="A9" s="16">
        <v>7</v>
      </c>
      <c r="B9" s="20">
        <v>44478</v>
      </c>
      <c r="C9" s="52" t="s">
        <v>5</v>
      </c>
      <c r="D9" s="16">
        <v>5</v>
      </c>
      <c r="E9" s="52" t="s">
        <v>59</v>
      </c>
      <c r="F9" s="16">
        <v>7</v>
      </c>
      <c r="G9" s="18"/>
      <c r="H9" s="13" t="s">
        <v>64</v>
      </c>
      <c r="I9" s="14">
        <v>1</v>
      </c>
      <c r="J9" s="14">
        <v>5</v>
      </c>
      <c r="M9" s="6" t="s">
        <v>46</v>
      </c>
      <c r="N9" s="6">
        <v>9</v>
      </c>
      <c r="P9" s="34">
        <f t="shared" si="0"/>
        <v>-2</v>
      </c>
      <c r="Q9" s="35">
        <f t="shared" si="1"/>
        <v>2</v>
      </c>
      <c r="R9" s="25"/>
      <c r="S9" s="25"/>
      <c r="T9" s="25"/>
      <c r="U9" s="28"/>
      <c r="V9" s="25"/>
      <c r="W9" s="25"/>
    </row>
    <row r="10" spans="1:23" ht="15.6" thickTop="1" thickBot="1" x14ac:dyDescent="0.35">
      <c r="A10" s="16">
        <v>8</v>
      </c>
      <c r="B10" s="20">
        <v>44478</v>
      </c>
      <c r="C10" s="52" t="s">
        <v>60</v>
      </c>
      <c r="D10" s="16">
        <v>7</v>
      </c>
      <c r="E10" s="52" t="s">
        <v>28</v>
      </c>
      <c r="F10" s="16">
        <v>6</v>
      </c>
      <c r="G10" s="18"/>
      <c r="H10" s="13" t="s">
        <v>69</v>
      </c>
      <c r="I10" s="14">
        <v>2</v>
      </c>
      <c r="J10" s="14">
        <v>8</v>
      </c>
      <c r="M10" s="6"/>
      <c r="N10" s="6"/>
      <c r="P10" s="34">
        <f t="shared" si="0"/>
        <v>1</v>
      </c>
      <c r="Q10" s="35">
        <f t="shared" si="1"/>
        <v>1</v>
      </c>
      <c r="R10" s="25"/>
      <c r="S10" s="25"/>
      <c r="T10" s="25"/>
      <c r="U10" s="28"/>
      <c r="V10" s="25"/>
      <c r="W10" s="25"/>
    </row>
    <row r="11" spans="1:23" ht="15.6" thickTop="1" thickBot="1" x14ac:dyDescent="0.35">
      <c r="A11" s="16">
        <v>9</v>
      </c>
      <c r="B11" s="20">
        <v>44478</v>
      </c>
      <c r="C11" s="52" t="s">
        <v>42</v>
      </c>
      <c r="D11" s="16">
        <v>7</v>
      </c>
      <c r="E11" s="52" t="s">
        <v>39</v>
      </c>
      <c r="F11" s="16">
        <v>4</v>
      </c>
      <c r="G11" s="18"/>
      <c r="H11" s="13" t="s">
        <v>70</v>
      </c>
      <c r="I11" s="14">
        <v>6</v>
      </c>
      <c r="J11" s="14">
        <v>4</v>
      </c>
      <c r="N11" s="6">
        <v>9</v>
      </c>
      <c r="P11" s="34">
        <f t="shared" si="0"/>
        <v>3</v>
      </c>
      <c r="Q11" s="35">
        <f t="shared" si="1"/>
        <v>3</v>
      </c>
      <c r="R11" s="25"/>
      <c r="S11" s="25"/>
      <c r="T11" s="25"/>
      <c r="U11" s="26"/>
      <c r="V11" s="25"/>
      <c r="W11" s="25"/>
    </row>
    <row r="12" spans="1:23" ht="15" thickBot="1" x14ac:dyDescent="0.35">
      <c r="A12" s="16">
        <v>10</v>
      </c>
      <c r="B12" s="20">
        <v>44484</v>
      </c>
      <c r="C12" s="52" t="s">
        <v>60</v>
      </c>
      <c r="D12" s="16"/>
      <c r="E12" s="52" t="s">
        <v>47</v>
      </c>
      <c r="F12" s="16"/>
      <c r="G12" s="18"/>
      <c r="H12" s="13"/>
      <c r="I12" s="14"/>
      <c r="J12" s="14"/>
      <c r="P12" s="34">
        <f t="shared" si="0"/>
        <v>0</v>
      </c>
      <c r="Q12" s="35">
        <f t="shared" si="1"/>
        <v>0</v>
      </c>
      <c r="R12" s="25"/>
      <c r="S12" s="25"/>
      <c r="T12" s="25"/>
      <c r="U12" s="25"/>
      <c r="V12" s="25"/>
      <c r="W12" s="25"/>
    </row>
    <row r="13" spans="1:23" ht="15" thickBot="1" x14ac:dyDescent="0.35">
      <c r="A13" s="16">
        <v>11</v>
      </c>
      <c r="B13" s="20">
        <v>44485</v>
      </c>
      <c r="C13" s="52" t="s">
        <v>42</v>
      </c>
      <c r="D13" s="16"/>
      <c r="E13" s="52" t="s">
        <v>59</v>
      </c>
      <c r="F13" s="16"/>
      <c r="G13" s="18"/>
      <c r="H13" s="13"/>
      <c r="I13" s="14"/>
      <c r="J13" s="14"/>
      <c r="P13" s="34">
        <f t="shared" si="0"/>
        <v>0</v>
      </c>
      <c r="Q13" s="35">
        <f t="shared" si="1"/>
        <v>0</v>
      </c>
      <c r="R13" s="25"/>
      <c r="S13" s="25"/>
      <c r="T13" s="25"/>
      <c r="U13" s="25"/>
      <c r="V13" s="25"/>
      <c r="W13" s="25"/>
    </row>
    <row r="14" spans="1:23" ht="15" thickBot="1" x14ac:dyDescent="0.35">
      <c r="A14" s="16">
        <v>12</v>
      </c>
      <c r="B14" s="20">
        <v>44485</v>
      </c>
      <c r="C14" s="52" t="s">
        <v>4</v>
      </c>
      <c r="D14" s="16"/>
      <c r="E14" s="52" t="s">
        <v>28</v>
      </c>
      <c r="F14" s="16"/>
      <c r="G14" s="18"/>
      <c r="H14" s="13"/>
      <c r="I14" s="14"/>
      <c r="J14" s="14"/>
      <c r="P14" s="34">
        <f t="shared" si="0"/>
        <v>0</v>
      </c>
      <c r="Q14" s="35">
        <f t="shared" si="1"/>
        <v>0</v>
      </c>
      <c r="R14" s="25"/>
      <c r="S14" s="25"/>
      <c r="T14" s="25"/>
      <c r="U14" s="25"/>
      <c r="V14" s="25"/>
      <c r="W14" s="25"/>
    </row>
    <row r="15" spans="1:23" ht="15" thickBot="1" x14ac:dyDescent="0.35">
      <c r="A15" s="16">
        <v>13</v>
      </c>
      <c r="B15" s="20">
        <v>44491</v>
      </c>
      <c r="C15" s="52" t="s">
        <v>5</v>
      </c>
      <c r="D15" s="16"/>
      <c r="E15" s="52" t="s">
        <v>42</v>
      </c>
      <c r="F15" s="16"/>
      <c r="G15" s="18"/>
      <c r="H15" s="13"/>
      <c r="I15" s="14"/>
      <c r="J15" s="14"/>
      <c r="P15" s="34">
        <f t="shared" si="0"/>
        <v>0</v>
      </c>
      <c r="Q15" s="35">
        <f t="shared" si="1"/>
        <v>0</v>
      </c>
      <c r="R15" s="25"/>
      <c r="S15" s="25"/>
      <c r="T15" s="25"/>
      <c r="U15" s="25"/>
      <c r="V15" s="25"/>
      <c r="W15" s="25"/>
    </row>
    <row r="16" spans="1:23" ht="15" thickBot="1" x14ac:dyDescent="0.35">
      <c r="A16" s="16">
        <v>14</v>
      </c>
      <c r="B16" s="20">
        <v>44491</v>
      </c>
      <c r="C16" s="52" t="s">
        <v>28</v>
      </c>
      <c r="D16" s="16"/>
      <c r="E16" s="52" t="s">
        <v>60</v>
      </c>
      <c r="F16" s="16"/>
      <c r="G16" s="18"/>
      <c r="H16" s="13"/>
      <c r="I16" s="14"/>
      <c r="J16" s="14"/>
      <c r="P16" s="34">
        <f t="shared" si="0"/>
        <v>0</v>
      </c>
      <c r="Q16" s="35">
        <f t="shared" si="1"/>
        <v>0</v>
      </c>
      <c r="R16" s="25"/>
      <c r="S16" s="25"/>
      <c r="T16" s="25"/>
      <c r="U16" s="25"/>
      <c r="V16" s="25"/>
      <c r="W16" s="25"/>
    </row>
    <row r="17" spans="1:23" ht="15" thickBot="1" x14ac:dyDescent="0.35">
      <c r="A17" s="16">
        <v>16</v>
      </c>
      <c r="B17" s="20">
        <v>44492</v>
      </c>
      <c r="C17" s="52" t="s">
        <v>47</v>
      </c>
      <c r="D17" s="16"/>
      <c r="E17" s="52" t="s">
        <v>39</v>
      </c>
      <c r="F17" s="16"/>
      <c r="G17" s="18"/>
      <c r="H17" s="13"/>
      <c r="I17" s="14"/>
      <c r="J17" s="14"/>
      <c r="P17" s="34">
        <f>D17-F17</f>
        <v>0</v>
      </c>
      <c r="Q17" s="35">
        <f>ABS(P17)</f>
        <v>0</v>
      </c>
      <c r="R17" s="25"/>
      <c r="S17" s="25"/>
      <c r="T17" s="25"/>
      <c r="U17" s="25"/>
      <c r="V17" s="25"/>
      <c r="W17" s="25"/>
    </row>
    <row r="18" spans="1:23" ht="15" thickBot="1" x14ac:dyDescent="0.35">
      <c r="A18" s="16">
        <v>15</v>
      </c>
      <c r="B18" s="20">
        <v>44493</v>
      </c>
      <c r="C18" s="52" t="s">
        <v>60</v>
      </c>
      <c r="D18" s="16"/>
      <c r="E18" s="52" t="s">
        <v>4</v>
      </c>
      <c r="F18" s="16"/>
      <c r="G18" s="18"/>
      <c r="H18" s="13"/>
      <c r="I18" s="14"/>
      <c r="J18" s="14"/>
      <c r="P18" s="34">
        <f>D18-F18</f>
        <v>0</v>
      </c>
      <c r="Q18" s="35">
        <f>ABS(P18)</f>
        <v>0</v>
      </c>
      <c r="R18" s="25"/>
      <c r="S18" s="25"/>
      <c r="T18" s="25"/>
      <c r="U18" s="25"/>
      <c r="V18" s="25"/>
      <c r="W18" s="25"/>
    </row>
    <row r="19" spans="1:23" ht="15" thickBot="1" x14ac:dyDescent="0.35">
      <c r="A19" s="16">
        <v>17</v>
      </c>
      <c r="B19" s="20">
        <v>44498</v>
      </c>
      <c r="C19" s="52" t="s">
        <v>47</v>
      </c>
      <c r="D19" s="16"/>
      <c r="E19" s="52" t="s">
        <v>42</v>
      </c>
      <c r="F19" s="16"/>
      <c r="G19" s="18"/>
      <c r="H19" s="13"/>
      <c r="I19" s="14"/>
      <c r="J19" s="14"/>
      <c r="P19" s="34">
        <f t="shared" si="0"/>
        <v>0</v>
      </c>
      <c r="Q19" s="35">
        <f t="shared" si="1"/>
        <v>0</v>
      </c>
      <c r="R19" s="25"/>
      <c r="S19" s="25"/>
      <c r="T19" s="25"/>
      <c r="U19" s="25"/>
      <c r="V19" s="25"/>
      <c r="W19" s="25"/>
    </row>
    <row r="20" spans="1:23" ht="15" thickBot="1" x14ac:dyDescent="0.35">
      <c r="A20" s="16">
        <v>18</v>
      </c>
      <c r="B20" s="20">
        <v>44498</v>
      </c>
      <c r="C20" s="52" t="s">
        <v>5</v>
      </c>
      <c r="D20" s="16"/>
      <c r="E20" s="52" t="s">
        <v>4</v>
      </c>
      <c r="F20" s="16"/>
      <c r="G20" s="18"/>
      <c r="H20" s="13"/>
      <c r="I20" s="14"/>
      <c r="J20" s="14"/>
      <c r="P20" s="34">
        <f t="shared" si="0"/>
        <v>0</v>
      </c>
      <c r="Q20" s="35">
        <f t="shared" si="1"/>
        <v>0</v>
      </c>
      <c r="R20" s="25"/>
      <c r="S20" s="25"/>
      <c r="T20" s="25"/>
      <c r="U20" s="25"/>
      <c r="V20" s="25"/>
      <c r="W20" s="25"/>
    </row>
    <row r="21" spans="1:23" ht="15" thickBot="1" x14ac:dyDescent="0.35">
      <c r="A21" s="16">
        <v>19</v>
      </c>
      <c r="B21" s="20">
        <v>44499</v>
      </c>
      <c r="C21" s="52" t="s">
        <v>4</v>
      </c>
      <c r="D21" s="16"/>
      <c r="E21" s="52" t="s">
        <v>59</v>
      </c>
      <c r="F21" s="16"/>
      <c r="G21" s="18"/>
      <c r="H21" s="13"/>
      <c r="I21" s="14"/>
      <c r="J21" s="14"/>
      <c r="P21" s="34">
        <f t="shared" si="0"/>
        <v>0</v>
      </c>
      <c r="Q21" s="35">
        <f t="shared" si="1"/>
        <v>0</v>
      </c>
      <c r="R21" s="25"/>
      <c r="S21" s="25"/>
      <c r="T21" s="25"/>
      <c r="U21" s="25"/>
      <c r="V21" s="25"/>
      <c r="W21" s="25"/>
    </row>
    <row r="22" spans="1:23" ht="15" thickBot="1" x14ac:dyDescent="0.35">
      <c r="A22" s="16">
        <v>20</v>
      </c>
      <c r="B22" s="20">
        <v>44505</v>
      </c>
      <c r="C22" s="52" t="s">
        <v>60</v>
      </c>
      <c r="D22" s="16"/>
      <c r="E22" s="52" t="s">
        <v>42</v>
      </c>
      <c r="F22" s="16"/>
      <c r="G22" s="18"/>
      <c r="H22" s="13"/>
      <c r="I22" s="14"/>
      <c r="J22" s="14"/>
      <c r="P22" s="34">
        <f t="shared" si="0"/>
        <v>0</v>
      </c>
      <c r="Q22" s="35">
        <f t="shared" si="1"/>
        <v>0</v>
      </c>
      <c r="R22" s="25"/>
      <c r="S22" s="25"/>
      <c r="T22" s="25"/>
      <c r="U22" s="25"/>
      <c r="V22" s="25"/>
      <c r="W22" s="25"/>
    </row>
    <row r="23" spans="1:23" ht="15" thickBot="1" x14ac:dyDescent="0.35">
      <c r="A23" s="16">
        <v>21</v>
      </c>
      <c r="B23" s="20">
        <v>44506</v>
      </c>
      <c r="C23" s="52" t="s">
        <v>47</v>
      </c>
      <c r="D23" s="16"/>
      <c r="E23" s="52" t="s">
        <v>4</v>
      </c>
      <c r="F23" s="16"/>
      <c r="G23" s="18"/>
      <c r="H23" s="13"/>
      <c r="I23" s="14"/>
      <c r="J23" s="14"/>
      <c r="P23" s="34">
        <f t="shared" si="0"/>
        <v>0</v>
      </c>
      <c r="Q23" s="35">
        <f t="shared" si="1"/>
        <v>0</v>
      </c>
      <c r="R23" s="25"/>
      <c r="S23" s="25"/>
      <c r="T23" s="25"/>
      <c r="U23" s="25"/>
      <c r="V23" s="25"/>
      <c r="W23" s="25"/>
    </row>
    <row r="24" spans="1:23" ht="15" thickBot="1" x14ac:dyDescent="0.35">
      <c r="A24" s="16">
        <v>22</v>
      </c>
      <c r="B24" s="20">
        <v>44506</v>
      </c>
      <c r="C24" s="52" t="s">
        <v>39</v>
      </c>
      <c r="D24" s="16"/>
      <c r="E24" s="52" t="s">
        <v>60</v>
      </c>
      <c r="F24" s="16"/>
      <c r="G24" s="18"/>
      <c r="H24" s="13"/>
      <c r="I24" s="14"/>
      <c r="J24" s="14"/>
      <c r="P24" s="34">
        <f t="shared" si="0"/>
        <v>0</v>
      </c>
      <c r="Q24" s="35">
        <f t="shared" si="1"/>
        <v>0</v>
      </c>
      <c r="R24" s="25"/>
      <c r="S24" s="25"/>
      <c r="T24" s="25"/>
      <c r="U24" s="25"/>
      <c r="V24" s="25"/>
      <c r="W24" s="25"/>
    </row>
    <row r="25" spans="1:23" ht="15" thickBot="1" x14ac:dyDescent="0.35">
      <c r="A25" s="16">
        <v>23</v>
      </c>
      <c r="B25" s="20">
        <v>44506</v>
      </c>
      <c r="C25" s="52" t="s">
        <v>42</v>
      </c>
      <c r="D25" s="16"/>
      <c r="E25" s="52" t="s">
        <v>5</v>
      </c>
      <c r="F25" s="16"/>
      <c r="G25" s="18"/>
      <c r="H25" s="13"/>
      <c r="I25" s="14"/>
      <c r="J25" s="14"/>
      <c r="P25" s="34">
        <f t="shared" si="0"/>
        <v>0</v>
      </c>
      <c r="Q25" s="35">
        <f t="shared" si="1"/>
        <v>0</v>
      </c>
      <c r="R25" s="25"/>
      <c r="S25" s="25"/>
      <c r="T25" s="25"/>
      <c r="U25" s="25"/>
      <c r="V25" s="25"/>
      <c r="W25" s="25"/>
    </row>
    <row r="26" spans="1:23" ht="15" thickBot="1" x14ac:dyDescent="0.35">
      <c r="A26" s="16">
        <v>24</v>
      </c>
      <c r="B26" s="20">
        <v>44512</v>
      </c>
      <c r="C26" s="52" t="s">
        <v>59</v>
      </c>
      <c r="D26" s="16"/>
      <c r="E26" s="52" t="s">
        <v>47</v>
      </c>
      <c r="F26" s="16"/>
      <c r="G26" s="18"/>
      <c r="H26" s="13"/>
      <c r="I26" s="14"/>
      <c r="J26" s="14"/>
      <c r="N26">
        <f>LOOKUP(C27,M1:M10,N1:N10)</f>
        <v>3</v>
      </c>
      <c r="P26" s="34">
        <f t="shared" si="0"/>
        <v>0</v>
      </c>
      <c r="Q26" s="35">
        <f t="shared" si="1"/>
        <v>0</v>
      </c>
      <c r="R26" s="25"/>
      <c r="S26" s="25"/>
      <c r="T26" s="25"/>
      <c r="U26" s="25"/>
      <c r="V26" s="25"/>
      <c r="W26" s="25"/>
    </row>
    <row r="27" spans="1:23" ht="15" thickBot="1" x14ac:dyDescent="0.35">
      <c r="A27" s="16">
        <v>25</v>
      </c>
      <c r="B27" s="20">
        <v>44512</v>
      </c>
      <c r="C27" s="52" t="s">
        <v>3</v>
      </c>
      <c r="D27" s="16"/>
      <c r="E27" s="52" t="s">
        <v>42</v>
      </c>
      <c r="F27" s="16"/>
      <c r="G27" s="18"/>
      <c r="H27" s="13"/>
      <c r="I27" s="14"/>
      <c r="J27" s="14"/>
      <c r="O27">
        <f>LOOKUP(E27,M1:M10,N1:N10)</f>
        <v>6</v>
      </c>
      <c r="P27" s="34">
        <f t="shared" si="0"/>
        <v>0</v>
      </c>
      <c r="Q27" s="35">
        <f t="shared" si="1"/>
        <v>0</v>
      </c>
      <c r="R27" s="25"/>
      <c r="S27" s="25"/>
      <c r="T27" s="25"/>
      <c r="U27" s="25"/>
      <c r="V27" s="25"/>
      <c r="W27" s="25"/>
    </row>
    <row r="28" spans="1:23" ht="15" thickBot="1" x14ac:dyDescent="0.35">
      <c r="A28" s="16">
        <v>26</v>
      </c>
      <c r="B28" s="20">
        <v>44512</v>
      </c>
      <c r="C28" s="52" t="s">
        <v>60</v>
      </c>
      <c r="D28" s="16"/>
      <c r="E28" s="52" t="s">
        <v>39</v>
      </c>
      <c r="F28" s="16"/>
      <c r="G28" s="18"/>
      <c r="H28" s="13"/>
      <c r="I28" s="14"/>
      <c r="J28" s="14"/>
      <c r="P28" s="34">
        <f t="shared" ref="P28:P61" si="2">D28-F28</f>
        <v>0</v>
      </c>
      <c r="Q28" s="35">
        <f t="shared" ref="Q28:Q61" si="3">ABS(P28)</f>
        <v>0</v>
      </c>
      <c r="R28" s="25"/>
      <c r="S28" s="25"/>
      <c r="T28" s="25"/>
      <c r="U28" s="25"/>
      <c r="V28" s="25"/>
      <c r="W28" s="25"/>
    </row>
    <row r="29" spans="1:23" ht="15" thickBot="1" x14ac:dyDescent="0.35">
      <c r="A29" s="16">
        <v>27</v>
      </c>
      <c r="B29" s="20">
        <v>44513</v>
      </c>
      <c r="C29" s="52" t="s">
        <v>42</v>
      </c>
      <c r="D29" s="16"/>
      <c r="E29" s="52" t="s">
        <v>4</v>
      </c>
      <c r="F29" s="16"/>
      <c r="G29" s="18"/>
      <c r="H29" s="13"/>
      <c r="I29" s="14"/>
      <c r="J29" s="14"/>
      <c r="P29" s="34">
        <f t="shared" si="2"/>
        <v>0</v>
      </c>
      <c r="Q29" s="35">
        <f t="shared" si="3"/>
        <v>0</v>
      </c>
      <c r="R29" s="25"/>
      <c r="S29" s="25"/>
      <c r="T29" s="25"/>
      <c r="U29" s="25"/>
      <c r="V29" s="25"/>
      <c r="W29" s="25"/>
    </row>
    <row r="30" spans="1:23" ht="15" thickBot="1" x14ac:dyDescent="0.35">
      <c r="A30" s="16">
        <v>28</v>
      </c>
      <c r="B30" s="20">
        <v>44513</v>
      </c>
      <c r="C30" s="52" t="s">
        <v>60</v>
      </c>
      <c r="D30" s="16"/>
      <c r="E30" s="52" t="s">
        <v>59</v>
      </c>
      <c r="F30" s="16"/>
      <c r="G30" s="18"/>
      <c r="H30" s="13"/>
      <c r="I30" s="14"/>
      <c r="J30" s="14"/>
      <c r="P30" s="34">
        <f t="shared" si="2"/>
        <v>0</v>
      </c>
      <c r="Q30" s="35">
        <f t="shared" si="3"/>
        <v>0</v>
      </c>
      <c r="R30" s="25"/>
      <c r="S30" s="25"/>
      <c r="T30" s="25"/>
      <c r="U30" s="25"/>
      <c r="V30" s="25"/>
      <c r="W30" s="25"/>
    </row>
    <row r="31" spans="1:23" ht="15" thickBot="1" x14ac:dyDescent="0.35">
      <c r="A31" s="16">
        <v>29</v>
      </c>
      <c r="B31" s="20">
        <v>44513</v>
      </c>
      <c r="C31" s="52" t="s">
        <v>47</v>
      </c>
      <c r="D31" s="16"/>
      <c r="E31" s="52" t="s">
        <v>28</v>
      </c>
      <c r="F31" s="16"/>
      <c r="G31" s="18"/>
      <c r="H31" s="13"/>
      <c r="I31" s="14"/>
      <c r="J31" s="14"/>
      <c r="P31" s="34">
        <f t="shared" si="2"/>
        <v>0</v>
      </c>
      <c r="Q31" s="35">
        <f t="shared" si="3"/>
        <v>0</v>
      </c>
      <c r="R31" s="25"/>
      <c r="S31" s="25"/>
      <c r="T31" s="25"/>
      <c r="U31" s="25"/>
      <c r="V31" s="25"/>
      <c r="W31" s="25"/>
    </row>
    <row r="32" spans="1:23" ht="15" thickBot="1" x14ac:dyDescent="0.35">
      <c r="A32" s="16">
        <v>30</v>
      </c>
      <c r="B32" s="20">
        <v>44513</v>
      </c>
      <c r="C32" s="52" t="s">
        <v>3</v>
      </c>
      <c r="D32" s="16"/>
      <c r="E32" s="52" t="s">
        <v>5</v>
      </c>
      <c r="F32" s="16"/>
      <c r="G32" s="18"/>
      <c r="H32" s="13"/>
      <c r="I32" s="14"/>
      <c r="J32" s="14"/>
      <c r="P32" s="34">
        <f t="shared" si="2"/>
        <v>0</v>
      </c>
      <c r="Q32" s="35">
        <f t="shared" si="3"/>
        <v>0</v>
      </c>
      <c r="R32" s="25"/>
      <c r="S32" s="25"/>
      <c r="T32" s="25"/>
      <c r="U32" s="25"/>
      <c r="V32" s="25"/>
      <c r="W32" s="25"/>
    </row>
    <row r="33" spans="1:23" ht="15" thickBot="1" x14ac:dyDescent="0.35">
      <c r="A33" s="16">
        <v>31</v>
      </c>
      <c r="B33" s="20">
        <v>44514</v>
      </c>
      <c r="C33" s="52" t="s">
        <v>28</v>
      </c>
      <c r="D33" s="16"/>
      <c r="E33" s="52" t="s">
        <v>4</v>
      </c>
      <c r="F33" s="16"/>
      <c r="G33" s="18"/>
      <c r="H33" s="13"/>
      <c r="I33" s="14"/>
      <c r="J33" s="14"/>
      <c r="P33" s="34">
        <f t="shared" si="2"/>
        <v>0</v>
      </c>
      <c r="Q33" s="35">
        <f t="shared" si="3"/>
        <v>0</v>
      </c>
      <c r="R33" s="25"/>
      <c r="S33" s="25"/>
      <c r="T33" s="25"/>
      <c r="U33" s="25"/>
      <c r="V33" s="25"/>
      <c r="W33" s="25"/>
    </row>
    <row r="34" spans="1:23" ht="15" thickBot="1" x14ac:dyDescent="0.35">
      <c r="A34" s="16">
        <v>32</v>
      </c>
      <c r="B34" s="20">
        <v>44519</v>
      </c>
      <c r="C34" s="52" t="s">
        <v>47</v>
      </c>
      <c r="D34" s="16"/>
      <c r="E34" s="52" t="s">
        <v>59</v>
      </c>
      <c r="F34" s="16"/>
      <c r="G34" s="18"/>
      <c r="H34" s="13"/>
      <c r="I34" s="14"/>
      <c r="J34" s="14"/>
      <c r="P34" s="34">
        <f t="shared" si="2"/>
        <v>0</v>
      </c>
      <c r="Q34" s="35">
        <f t="shared" si="3"/>
        <v>0</v>
      </c>
      <c r="R34" s="25"/>
      <c r="S34" s="25"/>
      <c r="T34" s="25"/>
      <c r="U34" s="25"/>
      <c r="V34" s="25"/>
      <c r="W34" s="25"/>
    </row>
    <row r="35" spans="1:23" ht="15" thickBot="1" x14ac:dyDescent="0.35">
      <c r="A35" s="16">
        <v>33</v>
      </c>
      <c r="B35" s="20">
        <v>44519</v>
      </c>
      <c r="C35" s="52" t="s">
        <v>5</v>
      </c>
      <c r="D35" s="16"/>
      <c r="E35" s="52" t="s">
        <v>3</v>
      </c>
      <c r="F35" s="16"/>
      <c r="G35" s="18"/>
      <c r="H35" s="13"/>
      <c r="I35" s="14"/>
      <c r="J35" s="14"/>
      <c r="P35" s="34">
        <f t="shared" si="2"/>
        <v>0</v>
      </c>
      <c r="Q35" s="35">
        <f t="shared" si="3"/>
        <v>0</v>
      </c>
      <c r="R35" s="25"/>
      <c r="S35" s="25"/>
      <c r="T35" s="25"/>
      <c r="U35" s="25"/>
      <c r="V35" s="25"/>
      <c r="W35" s="25"/>
    </row>
    <row r="36" spans="1:23" ht="15" thickBot="1" x14ac:dyDescent="0.35">
      <c r="A36" s="16">
        <v>34</v>
      </c>
      <c r="B36" s="20">
        <v>44520</v>
      </c>
      <c r="C36" s="52" t="s">
        <v>42</v>
      </c>
      <c r="D36" s="16"/>
      <c r="E36" s="52" t="s">
        <v>28</v>
      </c>
      <c r="F36" s="16"/>
      <c r="G36" s="18"/>
      <c r="H36" s="13"/>
      <c r="I36" s="14"/>
      <c r="J36" s="14"/>
      <c r="P36" s="34">
        <f t="shared" si="2"/>
        <v>0</v>
      </c>
      <c r="Q36" s="35">
        <f t="shared" si="3"/>
        <v>0</v>
      </c>
      <c r="R36" s="25"/>
      <c r="S36" s="25"/>
      <c r="T36" s="25"/>
      <c r="U36" s="25"/>
      <c r="V36" s="25"/>
      <c r="W36" s="25"/>
    </row>
    <row r="37" spans="1:23" ht="15" thickBot="1" x14ac:dyDescent="0.35">
      <c r="A37" s="16">
        <v>36</v>
      </c>
      <c r="B37" s="20">
        <v>44520</v>
      </c>
      <c r="C37" s="52" t="s">
        <v>4</v>
      </c>
      <c r="D37" s="16"/>
      <c r="E37" s="52" t="s">
        <v>39</v>
      </c>
      <c r="F37" s="16"/>
      <c r="G37" s="18"/>
      <c r="H37" s="13"/>
      <c r="I37" s="14"/>
      <c r="J37" s="14"/>
      <c r="P37" s="34">
        <f t="shared" ref="P37:P48" si="4">D37-F37</f>
        <v>0</v>
      </c>
      <c r="Q37" s="35">
        <f t="shared" ref="Q37:Q48" si="5">ABS(P37)</f>
        <v>0</v>
      </c>
      <c r="R37" s="25"/>
      <c r="S37" s="25"/>
      <c r="T37" s="25"/>
      <c r="U37" s="25"/>
      <c r="V37" s="25"/>
      <c r="W37" s="25"/>
    </row>
    <row r="38" spans="1:23" ht="15" thickBot="1" x14ac:dyDescent="0.35">
      <c r="A38" s="16">
        <v>37</v>
      </c>
      <c r="B38" s="20">
        <v>44520</v>
      </c>
      <c r="C38" s="52" t="s">
        <v>47</v>
      </c>
      <c r="D38" s="16"/>
      <c r="E38" s="52" t="s">
        <v>5</v>
      </c>
      <c r="F38" s="16"/>
      <c r="G38" s="18"/>
      <c r="H38" s="13"/>
      <c r="I38" s="14"/>
      <c r="J38" s="14"/>
      <c r="P38" s="34">
        <f t="shared" si="4"/>
        <v>0</v>
      </c>
      <c r="Q38" s="35">
        <f t="shared" si="5"/>
        <v>0</v>
      </c>
      <c r="R38" s="25"/>
      <c r="S38" s="25"/>
      <c r="T38" s="25"/>
      <c r="U38" s="25"/>
      <c r="V38" s="25"/>
      <c r="W38" s="25"/>
    </row>
    <row r="39" spans="1:23" ht="15" thickBot="1" x14ac:dyDescent="0.35">
      <c r="A39" s="16">
        <v>38</v>
      </c>
      <c r="B39" s="20">
        <v>44533</v>
      </c>
      <c r="C39" s="52" t="s">
        <v>4</v>
      </c>
      <c r="D39" s="16"/>
      <c r="E39" s="52" t="s">
        <v>3</v>
      </c>
      <c r="F39" s="16"/>
      <c r="G39" s="18"/>
      <c r="H39" s="13"/>
      <c r="I39" s="14"/>
      <c r="J39" s="14"/>
      <c r="P39" s="34">
        <f t="shared" si="4"/>
        <v>0</v>
      </c>
      <c r="Q39" s="35">
        <f t="shared" si="5"/>
        <v>0</v>
      </c>
      <c r="R39" s="25"/>
      <c r="S39" s="25"/>
      <c r="T39" s="25"/>
      <c r="U39" s="25"/>
      <c r="V39" s="25"/>
      <c r="W39" s="25"/>
    </row>
    <row r="40" spans="1:23" ht="15" thickBot="1" x14ac:dyDescent="0.35">
      <c r="A40" s="16">
        <v>39</v>
      </c>
      <c r="B40" s="20">
        <v>44534</v>
      </c>
      <c r="C40" s="52" t="s">
        <v>42</v>
      </c>
      <c r="D40" s="16"/>
      <c r="E40" s="52" t="s">
        <v>3</v>
      </c>
      <c r="F40" s="16"/>
      <c r="G40" s="18"/>
      <c r="H40" s="13"/>
      <c r="I40" s="14"/>
      <c r="J40" s="14"/>
      <c r="P40" s="34">
        <f t="shared" si="4"/>
        <v>0</v>
      </c>
      <c r="Q40" s="35">
        <f t="shared" si="5"/>
        <v>0</v>
      </c>
      <c r="R40" s="25"/>
      <c r="S40" s="25"/>
      <c r="T40" s="25"/>
      <c r="U40" s="25"/>
      <c r="V40" s="25"/>
      <c r="W40" s="25"/>
    </row>
    <row r="41" spans="1:23" ht="15" thickBot="1" x14ac:dyDescent="0.35">
      <c r="A41" s="16">
        <v>40</v>
      </c>
      <c r="B41" s="20">
        <v>44534</v>
      </c>
      <c r="C41" s="52" t="s">
        <v>47</v>
      </c>
      <c r="D41" s="16"/>
      <c r="E41" s="52" t="s">
        <v>60</v>
      </c>
      <c r="F41" s="16"/>
      <c r="G41" s="18"/>
      <c r="H41" s="13"/>
      <c r="I41" s="14"/>
      <c r="J41" s="14"/>
      <c r="P41" s="34">
        <f t="shared" si="4"/>
        <v>0</v>
      </c>
      <c r="Q41" s="35">
        <f t="shared" si="5"/>
        <v>0</v>
      </c>
      <c r="R41" s="25"/>
      <c r="S41" s="25"/>
      <c r="T41" s="25"/>
      <c r="U41" s="25"/>
      <c r="V41" s="25"/>
      <c r="W41" s="25"/>
    </row>
    <row r="42" spans="1:23" ht="15" thickBot="1" x14ac:dyDescent="0.35">
      <c r="A42" s="16">
        <v>41</v>
      </c>
      <c r="B42" s="20">
        <v>44534</v>
      </c>
      <c r="C42" s="52" t="s">
        <v>59</v>
      </c>
      <c r="D42" s="16"/>
      <c r="E42" s="52" t="s">
        <v>28</v>
      </c>
      <c r="F42" s="16"/>
      <c r="G42" s="18"/>
      <c r="H42" s="13"/>
      <c r="I42" s="14"/>
      <c r="J42" s="14"/>
      <c r="P42" s="34">
        <f t="shared" si="4"/>
        <v>0</v>
      </c>
      <c r="Q42" s="35">
        <f t="shared" si="5"/>
        <v>0</v>
      </c>
      <c r="R42" s="25"/>
      <c r="S42" s="25"/>
      <c r="T42" s="25"/>
      <c r="U42" s="25"/>
      <c r="V42" s="25"/>
      <c r="W42" s="25"/>
    </row>
    <row r="43" spans="1:23" ht="15" thickBot="1" x14ac:dyDescent="0.35">
      <c r="A43" s="16">
        <v>42</v>
      </c>
      <c r="B43" s="20">
        <v>44534</v>
      </c>
      <c r="C43" s="52" t="s">
        <v>4</v>
      </c>
      <c r="D43" s="16"/>
      <c r="E43" s="52" t="s">
        <v>5</v>
      </c>
      <c r="F43" s="16"/>
      <c r="G43" s="18"/>
      <c r="H43" s="13"/>
      <c r="I43" s="14"/>
      <c r="J43" s="14"/>
      <c r="P43" s="34">
        <f t="shared" si="4"/>
        <v>0</v>
      </c>
      <c r="Q43" s="35">
        <f t="shared" si="5"/>
        <v>0</v>
      </c>
      <c r="R43" s="25"/>
      <c r="S43" s="25"/>
      <c r="T43" s="25"/>
      <c r="U43" s="25"/>
      <c r="V43" s="25"/>
      <c r="W43" s="25"/>
    </row>
    <row r="44" spans="1:23" ht="15" thickBot="1" x14ac:dyDescent="0.35">
      <c r="A44" s="16">
        <v>43</v>
      </c>
      <c r="B44" s="20">
        <v>44540</v>
      </c>
      <c r="C44" s="52" t="s">
        <v>5</v>
      </c>
      <c r="D44" s="16"/>
      <c r="E44" s="52" t="s">
        <v>47</v>
      </c>
      <c r="F44" s="16"/>
      <c r="G44" s="18"/>
      <c r="H44" s="13"/>
      <c r="I44" s="14"/>
      <c r="J44" s="14"/>
      <c r="P44" s="34">
        <f t="shared" si="4"/>
        <v>0</v>
      </c>
      <c r="Q44" s="35">
        <f t="shared" si="5"/>
        <v>0</v>
      </c>
      <c r="R44" s="25"/>
      <c r="S44" s="25"/>
      <c r="T44" s="25"/>
      <c r="U44" s="25"/>
      <c r="V44" s="25"/>
      <c r="W44" s="25"/>
    </row>
    <row r="45" spans="1:23" ht="15" thickBot="1" x14ac:dyDescent="0.35">
      <c r="A45" s="16">
        <v>35</v>
      </c>
      <c r="B45" s="20">
        <v>44541</v>
      </c>
      <c r="C45" s="52" t="s">
        <v>3</v>
      </c>
      <c r="D45" s="16"/>
      <c r="E45" s="52" t="s">
        <v>60</v>
      </c>
      <c r="F45" s="16"/>
      <c r="G45" s="18"/>
      <c r="H45" s="13"/>
      <c r="I45" s="14"/>
      <c r="J45" s="14"/>
      <c r="P45" s="34">
        <f t="shared" si="4"/>
        <v>0</v>
      </c>
      <c r="Q45" s="35">
        <f t="shared" si="5"/>
        <v>0</v>
      </c>
      <c r="R45" s="25"/>
      <c r="S45" s="25"/>
      <c r="T45" s="25"/>
      <c r="U45" s="25"/>
      <c r="V45" s="25"/>
      <c r="W45" s="25"/>
    </row>
    <row r="46" spans="1:23" ht="15" thickBot="1" x14ac:dyDescent="0.35">
      <c r="A46" s="16">
        <v>44</v>
      </c>
      <c r="B46" s="20">
        <v>44541</v>
      </c>
      <c r="C46" s="52" t="s">
        <v>28</v>
      </c>
      <c r="D46" s="16"/>
      <c r="E46" s="52" t="s">
        <v>47</v>
      </c>
      <c r="F46" s="16"/>
      <c r="G46" s="18"/>
      <c r="H46" s="13"/>
      <c r="I46" s="14"/>
      <c r="J46" s="14"/>
      <c r="P46" s="34">
        <f t="shared" si="4"/>
        <v>0</v>
      </c>
      <c r="Q46" s="35">
        <f t="shared" si="5"/>
        <v>0</v>
      </c>
      <c r="R46" s="25"/>
      <c r="S46" s="25"/>
      <c r="T46" s="25"/>
      <c r="U46" s="25"/>
      <c r="V46" s="25"/>
      <c r="W46" s="25"/>
    </row>
    <row r="47" spans="1:23" ht="15" thickBot="1" x14ac:dyDescent="0.35">
      <c r="A47" s="16">
        <v>45</v>
      </c>
      <c r="B47" s="20">
        <v>44541</v>
      </c>
      <c r="C47" s="52" t="s">
        <v>59</v>
      </c>
      <c r="D47" s="16"/>
      <c r="E47" s="52" t="s">
        <v>5</v>
      </c>
      <c r="F47" s="16"/>
      <c r="G47" s="18"/>
      <c r="H47" s="13"/>
      <c r="I47" s="14"/>
      <c r="J47" s="14"/>
      <c r="P47" s="34">
        <f t="shared" si="4"/>
        <v>0</v>
      </c>
      <c r="Q47" s="35">
        <f t="shared" si="5"/>
        <v>0</v>
      </c>
      <c r="R47" s="25"/>
      <c r="S47" s="25"/>
      <c r="T47" s="25"/>
      <c r="U47" s="25"/>
      <c r="V47" s="25"/>
      <c r="W47" s="25"/>
    </row>
    <row r="48" spans="1:23" ht="15" thickBot="1" x14ac:dyDescent="0.35">
      <c r="A48" s="16">
        <v>46</v>
      </c>
      <c r="B48" s="20">
        <v>44548</v>
      </c>
      <c r="C48" s="52" t="s">
        <v>3</v>
      </c>
      <c r="D48" s="16"/>
      <c r="E48" s="52" t="s">
        <v>28</v>
      </c>
      <c r="F48" s="16"/>
      <c r="G48" s="18"/>
      <c r="H48" s="13"/>
      <c r="I48" s="14"/>
      <c r="J48" s="14"/>
      <c r="P48" s="34">
        <f t="shared" si="4"/>
        <v>0</v>
      </c>
      <c r="Q48" s="35">
        <f t="shared" si="5"/>
        <v>0</v>
      </c>
      <c r="R48" s="25"/>
      <c r="S48" s="25"/>
      <c r="T48" s="25"/>
      <c r="U48" s="25"/>
      <c r="V48" s="25"/>
      <c r="W48" s="25"/>
    </row>
    <row r="49" spans="1:23" ht="15" thickBot="1" x14ac:dyDescent="0.35">
      <c r="A49" s="16">
        <v>47</v>
      </c>
      <c r="B49" s="20">
        <v>44576</v>
      </c>
      <c r="C49" s="52" t="s">
        <v>39</v>
      </c>
      <c r="D49" s="16"/>
      <c r="E49" s="52" t="s">
        <v>3</v>
      </c>
      <c r="F49" s="16"/>
      <c r="G49" s="18"/>
      <c r="H49" s="13"/>
      <c r="I49" s="14"/>
      <c r="J49" s="14"/>
      <c r="P49" s="34">
        <f t="shared" si="2"/>
        <v>0</v>
      </c>
      <c r="Q49" s="35">
        <f t="shared" si="3"/>
        <v>0</v>
      </c>
      <c r="R49" s="25"/>
      <c r="S49" s="25"/>
      <c r="T49" s="25"/>
      <c r="U49" s="25"/>
      <c r="V49" s="25"/>
      <c r="W49" s="25"/>
    </row>
    <row r="50" spans="1:23" ht="15" thickBot="1" x14ac:dyDescent="0.35">
      <c r="A50" s="16">
        <v>48</v>
      </c>
      <c r="B50" s="20">
        <v>44582</v>
      </c>
      <c r="C50" s="52" t="s">
        <v>28</v>
      </c>
      <c r="D50" s="16"/>
      <c r="E50" s="52" t="s">
        <v>3</v>
      </c>
      <c r="F50" s="16"/>
      <c r="G50" s="18"/>
      <c r="H50" s="13"/>
      <c r="I50" s="14"/>
      <c r="J50" s="14"/>
      <c r="P50" s="34">
        <f t="shared" si="2"/>
        <v>0</v>
      </c>
      <c r="Q50" s="35">
        <f t="shared" si="3"/>
        <v>0</v>
      </c>
      <c r="R50" s="25"/>
      <c r="S50" s="25"/>
      <c r="T50" s="25"/>
      <c r="U50" s="25"/>
      <c r="V50" s="25"/>
      <c r="W50" s="25"/>
    </row>
    <row r="51" spans="1:23" ht="15" thickBot="1" x14ac:dyDescent="0.35">
      <c r="A51" s="16">
        <v>49</v>
      </c>
      <c r="B51" s="20">
        <v>44582</v>
      </c>
      <c r="C51" s="52" t="s">
        <v>59</v>
      </c>
      <c r="D51" s="16"/>
      <c r="E51" s="52" t="s">
        <v>39</v>
      </c>
      <c r="F51" s="16"/>
      <c r="G51" s="18"/>
      <c r="H51" s="13"/>
      <c r="I51" s="14"/>
      <c r="J51" s="14"/>
      <c r="P51" s="34">
        <f t="shared" si="2"/>
        <v>0</v>
      </c>
      <c r="Q51" s="35">
        <f t="shared" si="3"/>
        <v>0</v>
      </c>
      <c r="R51" s="25"/>
      <c r="S51" s="25"/>
      <c r="T51" s="25"/>
      <c r="U51" s="25"/>
      <c r="V51" s="25"/>
      <c r="W51" s="25"/>
    </row>
    <row r="52" spans="1:23" ht="15" thickBot="1" x14ac:dyDescent="0.35">
      <c r="A52" s="16">
        <v>50</v>
      </c>
      <c r="B52" s="20">
        <v>44583</v>
      </c>
      <c r="C52" s="52" t="s">
        <v>59</v>
      </c>
      <c r="D52" s="16"/>
      <c r="E52" s="52" t="s">
        <v>3</v>
      </c>
      <c r="F52" s="16"/>
      <c r="G52" s="18"/>
      <c r="H52" s="13"/>
      <c r="I52" s="14"/>
      <c r="J52" s="14"/>
      <c r="P52" s="34">
        <f t="shared" si="2"/>
        <v>0</v>
      </c>
      <c r="Q52" s="35">
        <f t="shared" si="3"/>
        <v>0</v>
      </c>
      <c r="R52" s="25"/>
      <c r="S52" s="25"/>
      <c r="T52" s="25"/>
      <c r="U52" s="25"/>
      <c r="V52" s="25"/>
      <c r="W52" s="25"/>
    </row>
    <row r="53" spans="1:23" ht="15" thickBot="1" x14ac:dyDescent="0.35">
      <c r="A53" s="16">
        <v>51</v>
      </c>
      <c r="B53" s="20">
        <v>44583</v>
      </c>
      <c r="C53" s="52" t="s">
        <v>39</v>
      </c>
      <c r="D53" s="16"/>
      <c r="E53" s="52" t="s">
        <v>28</v>
      </c>
      <c r="F53" s="16"/>
      <c r="G53" s="18"/>
      <c r="H53" s="13"/>
      <c r="I53" s="14"/>
      <c r="J53" s="14"/>
      <c r="P53" s="34">
        <f t="shared" si="2"/>
        <v>0</v>
      </c>
      <c r="Q53" s="35">
        <f t="shared" si="3"/>
        <v>0</v>
      </c>
      <c r="R53" s="25"/>
      <c r="S53" s="25"/>
      <c r="T53" s="25"/>
      <c r="U53" s="25"/>
      <c r="V53" s="25"/>
      <c r="W53" s="25"/>
    </row>
    <row r="54" spans="1:23" ht="15" thickBot="1" x14ac:dyDescent="0.35">
      <c r="A54" s="16">
        <v>52</v>
      </c>
      <c r="B54" s="20">
        <v>44589</v>
      </c>
      <c r="C54" s="52" t="s">
        <v>47</v>
      </c>
      <c r="D54" s="16"/>
      <c r="E54" s="52" t="s">
        <v>3</v>
      </c>
      <c r="F54" s="16"/>
      <c r="G54" s="18"/>
      <c r="H54" s="13"/>
      <c r="I54" s="14"/>
      <c r="J54" s="14"/>
      <c r="P54" s="34">
        <f t="shared" si="2"/>
        <v>0</v>
      </c>
      <c r="Q54" s="35">
        <f t="shared" si="3"/>
        <v>0</v>
      </c>
      <c r="R54" s="25"/>
      <c r="S54" s="25"/>
      <c r="T54" s="25"/>
      <c r="U54" s="25"/>
      <c r="V54" s="25"/>
      <c r="W54" s="25"/>
    </row>
    <row r="55" spans="1:23" ht="15" thickBot="1" x14ac:dyDescent="0.35">
      <c r="A55" s="16">
        <v>53</v>
      </c>
      <c r="B55" s="20">
        <v>44589</v>
      </c>
      <c r="C55" s="52" t="s">
        <v>5</v>
      </c>
      <c r="D55" s="16"/>
      <c r="E55" s="52" t="s">
        <v>39</v>
      </c>
      <c r="F55" s="16"/>
      <c r="G55" s="18"/>
      <c r="H55" s="13"/>
      <c r="I55" s="14"/>
      <c r="J55" s="14"/>
      <c r="P55" s="34">
        <f t="shared" si="2"/>
        <v>0</v>
      </c>
      <c r="Q55" s="35">
        <f t="shared" si="3"/>
        <v>0</v>
      </c>
      <c r="R55" s="25"/>
      <c r="S55" s="25"/>
      <c r="T55" s="25"/>
      <c r="U55" s="25"/>
      <c r="V55" s="25"/>
      <c r="W55" s="25"/>
    </row>
    <row r="56" spans="1:23" ht="15" thickBot="1" x14ac:dyDescent="0.35">
      <c r="A56" s="16">
        <v>54</v>
      </c>
      <c r="B56" s="20">
        <v>44590</v>
      </c>
      <c r="C56" s="52" t="s">
        <v>60</v>
      </c>
      <c r="D56" s="16"/>
      <c r="E56" s="52" t="s">
        <v>3</v>
      </c>
      <c r="F56" s="16"/>
      <c r="G56" s="18"/>
      <c r="H56" s="13"/>
      <c r="I56" s="14"/>
      <c r="J56" s="14"/>
      <c r="P56" s="34">
        <f t="shared" si="2"/>
        <v>0</v>
      </c>
      <c r="Q56" s="35">
        <f t="shared" si="3"/>
        <v>0</v>
      </c>
      <c r="R56" s="25"/>
      <c r="S56" s="25"/>
      <c r="T56" s="25"/>
      <c r="U56" s="25"/>
      <c r="V56" s="25"/>
      <c r="W56" s="25"/>
    </row>
    <row r="57" spans="1:23" ht="15" thickBot="1" x14ac:dyDescent="0.35">
      <c r="A57" s="16">
        <v>55</v>
      </c>
      <c r="B57" s="20">
        <v>44590</v>
      </c>
      <c r="C57" s="52" t="s">
        <v>59</v>
      </c>
      <c r="D57" s="16"/>
      <c r="E57" s="52" t="s">
        <v>4</v>
      </c>
      <c r="F57" s="16"/>
      <c r="G57" s="18"/>
      <c r="H57" s="13"/>
      <c r="I57" s="14"/>
      <c r="J57" s="14"/>
      <c r="P57" s="34">
        <f t="shared" si="2"/>
        <v>0</v>
      </c>
      <c r="Q57" s="35">
        <f t="shared" si="3"/>
        <v>0</v>
      </c>
      <c r="R57" s="25"/>
      <c r="S57" s="25"/>
      <c r="T57" s="25"/>
      <c r="U57" s="25"/>
      <c r="V57" s="25"/>
      <c r="W57" s="25"/>
    </row>
    <row r="58" spans="1:23" ht="15" thickBot="1" x14ac:dyDescent="0.35">
      <c r="A58" s="16">
        <v>56</v>
      </c>
      <c r="B58" s="20">
        <v>44590</v>
      </c>
      <c r="C58" s="52" t="s">
        <v>39</v>
      </c>
      <c r="D58" s="16"/>
      <c r="E58" s="52" t="s">
        <v>5</v>
      </c>
      <c r="F58" s="16"/>
      <c r="G58" s="18"/>
      <c r="H58" s="13"/>
      <c r="I58" s="14"/>
      <c r="J58" s="14"/>
      <c r="P58" s="34">
        <f t="shared" si="2"/>
        <v>0</v>
      </c>
      <c r="Q58" s="35">
        <f t="shared" si="3"/>
        <v>0</v>
      </c>
      <c r="R58" s="25"/>
      <c r="S58" s="25"/>
      <c r="T58" s="25"/>
      <c r="U58" s="25"/>
      <c r="V58" s="25"/>
      <c r="W58" s="25"/>
    </row>
    <row r="59" spans="1:23" ht="15" thickBot="1" x14ac:dyDescent="0.35">
      <c r="A59" s="16">
        <v>57</v>
      </c>
      <c r="B59" s="20">
        <v>44591</v>
      </c>
      <c r="C59" s="52" t="s">
        <v>42</v>
      </c>
      <c r="D59" s="16"/>
      <c r="E59" s="52" t="s">
        <v>47</v>
      </c>
      <c r="F59" s="16"/>
      <c r="G59" s="18"/>
      <c r="H59" s="13"/>
      <c r="I59" s="14"/>
      <c r="J59" s="14"/>
      <c r="P59" s="34">
        <f t="shared" si="2"/>
        <v>0</v>
      </c>
      <c r="Q59" s="35">
        <f t="shared" si="3"/>
        <v>0</v>
      </c>
      <c r="R59" s="25"/>
      <c r="S59" s="25"/>
      <c r="T59" s="25"/>
      <c r="U59" s="25"/>
      <c r="V59" s="25"/>
      <c r="W59" s="25"/>
    </row>
    <row r="60" spans="1:23" ht="15" thickBot="1" x14ac:dyDescent="0.35">
      <c r="A60" s="16">
        <v>58</v>
      </c>
      <c r="B60" s="20">
        <v>44596</v>
      </c>
      <c r="C60" s="52" t="s">
        <v>3</v>
      </c>
      <c r="D60" s="16"/>
      <c r="E60" s="52" t="s">
        <v>47</v>
      </c>
      <c r="F60" s="16"/>
      <c r="G60" s="18"/>
      <c r="H60" s="13"/>
      <c r="I60" s="14"/>
      <c r="J60" s="14"/>
      <c r="P60" s="34">
        <f t="shared" si="2"/>
        <v>0</v>
      </c>
      <c r="Q60" s="35">
        <f t="shared" si="3"/>
        <v>0</v>
      </c>
      <c r="R60" s="25"/>
      <c r="S60" s="25"/>
      <c r="T60" s="25"/>
      <c r="U60" s="25"/>
      <c r="V60" s="25"/>
      <c r="W60" s="25"/>
    </row>
    <row r="61" spans="1:23" ht="15" thickBot="1" x14ac:dyDescent="0.35">
      <c r="A61" s="16">
        <v>59</v>
      </c>
      <c r="B61" s="20">
        <v>44596</v>
      </c>
      <c r="C61" s="52" t="s">
        <v>28</v>
      </c>
      <c r="D61" s="16"/>
      <c r="E61" s="52" t="s">
        <v>59</v>
      </c>
      <c r="F61" s="16"/>
      <c r="G61" s="18"/>
      <c r="H61" s="13"/>
      <c r="I61" s="14"/>
      <c r="J61" s="14"/>
      <c r="P61" s="34">
        <f t="shared" si="2"/>
        <v>0</v>
      </c>
      <c r="Q61" s="35">
        <f t="shared" si="3"/>
        <v>0</v>
      </c>
      <c r="R61" s="25"/>
      <c r="S61" s="25"/>
      <c r="T61" s="25"/>
      <c r="U61" s="25"/>
      <c r="V61" s="25"/>
      <c r="W61" s="25"/>
    </row>
    <row r="62" spans="1:23" ht="15" thickBot="1" x14ac:dyDescent="0.35">
      <c r="A62" s="16">
        <v>63</v>
      </c>
      <c r="B62" s="20">
        <v>44596</v>
      </c>
      <c r="C62" s="52" t="s">
        <v>4</v>
      </c>
      <c r="D62" s="16"/>
      <c r="E62" s="52" t="s">
        <v>60</v>
      </c>
      <c r="F62" s="16"/>
      <c r="G62" s="18"/>
      <c r="H62" s="13"/>
      <c r="I62" s="14"/>
      <c r="J62" s="14"/>
      <c r="P62" s="34">
        <f>D62-F62</f>
        <v>0</v>
      </c>
      <c r="Q62" s="35">
        <f>ABS(P62)</f>
        <v>0</v>
      </c>
      <c r="R62" s="25"/>
      <c r="S62" s="25"/>
      <c r="T62" s="25"/>
      <c r="U62" s="25"/>
      <c r="V62" s="25"/>
      <c r="W62" s="25"/>
    </row>
    <row r="63" spans="1:23" ht="15" thickBot="1" x14ac:dyDescent="0.35">
      <c r="A63" s="16">
        <v>60</v>
      </c>
      <c r="B63" s="20">
        <v>44597</v>
      </c>
      <c r="C63" s="52" t="s">
        <v>39</v>
      </c>
      <c r="D63" s="16"/>
      <c r="E63" s="52" t="s">
        <v>47</v>
      </c>
      <c r="F63" s="16"/>
      <c r="G63" s="18"/>
      <c r="H63" s="13"/>
      <c r="I63" s="14"/>
      <c r="J63" s="14"/>
      <c r="P63" s="34">
        <f>D63-F63</f>
        <v>0</v>
      </c>
      <c r="Q63" s="35">
        <f>ABS(P63)</f>
        <v>0</v>
      </c>
      <c r="R63" s="25"/>
      <c r="S63" s="25"/>
      <c r="T63" s="25"/>
      <c r="U63" s="25"/>
      <c r="V63" s="25"/>
      <c r="W63" s="25"/>
    </row>
    <row r="64" spans="1:23" ht="15" thickBot="1" x14ac:dyDescent="0.35">
      <c r="A64" s="16">
        <v>61</v>
      </c>
      <c r="B64" s="20">
        <v>44597</v>
      </c>
      <c r="C64" s="52" t="s">
        <v>3</v>
      </c>
      <c r="D64" s="16"/>
      <c r="E64" s="52" t="s">
        <v>59</v>
      </c>
      <c r="F64" s="16"/>
      <c r="G64" s="18"/>
      <c r="H64" s="13"/>
      <c r="I64" s="14"/>
      <c r="J64" s="14"/>
      <c r="P64" s="34">
        <f>D64-F64</f>
        <v>0</v>
      </c>
      <c r="Q64" s="35">
        <f>ABS(P64)</f>
        <v>0</v>
      </c>
      <c r="R64" s="25"/>
      <c r="S64" s="25"/>
      <c r="T64" s="25"/>
      <c r="U64" s="25"/>
      <c r="V64" s="25"/>
      <c r="W64" s="25"/>
    </row>
    <row r="65" spans="1:23" ht="15" thickBot="1" x14ac:dyDescent="0.35">
      <c r="A65" s="16">
        <v>62</v>
      </c>
      <c r="B65" s="20">
        <v>44597</v>
      </c>
      <c r="C65" s="52" t="s">
        <v>28</v>
      </c>
      <c r="D65" s="16"/>
      <c r="E65" s="52" t="s">
        <v>42</v>
      </c>
      <c r="F65" s="16"/>
      <c r="G65" s="18"/>
      <c r="H65" s="13"/>
      <c r="I65" s="14"/>
      <c r="J65" s="14"/>
      <c r="P65" s="34">
        <f>D65-F65</f>
        <v>0</v>
      </c>
      <c r="Q65" s="35">
        <f>ABS(P65)</f>
        <v>0</v>
      </c>
      <c r="R65" s="25"/>
      <c r="S65" s="25"/>
      <c r="T65" s="25"/>
      <c r="U65" s="25"/>
      <c r="V65" s="25"/>
      <c r="W65" s="25"/>
    </row>
    <row r="66" spans="1:23" ht="15" thickBot="1" x14ac:dyDescent="0.35">
      <c r="A66" s="16">
        <v>64</v>
      </c>
      <c r="B66" s="20">
        <v>44597</v>
      </c>
      <c r="C66" s="52" t="s">
        <v>60</v>
      </c>
      <c r="D66" s="16"/>
      <c r="E66" s="52" t="s">
        <v>5</v>
      </c>
      <c r="F66" s="16"/>
      <c r="G66" s="18"/>
      <c r="H66" s="13"/>
      <c r="I66" s="14"/>
      <c r="J66" s="14"/>
      <c r="P66" s="34">
        <f t="shared" si="0"/>
        <v>0</v>
      </c>
      <c r="Q66" s="35">
        <f t="shared" si="1"/>
        <v>0</v>
      </c>
      <c r="R66" s="25"/>
      <c r="S66" s="25"/>
      <c r="T66" s="25"/>
      <c r="U66" s="25"/>
      <c r="V66" s="25"/>
      <c r="W66" s="25"/>
    </row>
    <row r="67" spans="1:23" ht="15" thickBot="1" x14ac:dyDescent="0.35">
      <c r="A67" s="16">
        <v>65</v>
      </c>
      <c r="B67" s="20">
        <v>44598</v>
      </c>
      <c r="C67" s="52" t="s">
        <v>39</v>
      </c>
      <c r="D67" s="16"/>
      <c r="E67" s="52" t="s">
        <v>42</v>
      </c>
      <c r="F67" s="16"/>
      <c r="G67" s="18"/>
      <c r="H67" s="13"/>
      <c r="I67" s="14"/>
      <c r="J67" s="14"/>
      <c r="P67" s="34">
        <f t="shared" si="0"/>
        <v>0</v>
      </c>
      <c r="Q67" s="35">
        <f t="shared" si="1"/>
        <v>0</v>
      </c>
      <c r="R67" s="25"/>
      <c r="S67" s="25"/>
      <c r="T67" s="25"/>
      <c r="U67" s="25"/>
      <c r="V67" s="25"/>
      <c r="W67" s="25"/>
    </row>
    <row r="68" spans="1:23" ht="15" thickBot="1" x14ac:dyDescent="0.35">
      <c r="A68" s="16">
        <v>66</v>
      </c>
      <c r="B68" s="20">
        <v>44603</v>
      </c>
      <c r="C68" s="52" t="s">
        <v>3</v>
      </c>
      <c r="D68" s="16"/>
      <c r="E68" s="52" t="s">
        <v>4</v>
      </c>
      <c r="F68" s="16"/>
      <c r="G68" s="18"/>
      <c r="H68" s="13"/>
      <c r="I68" s="14"/>
      <c r="J68" s="14"/>
      <c r="P68" s="34">
        <f t="shared" si="0"/>
        <v>0</v>
      </c>
      <c r="Q68" s="35">
        <f t="shared" si="1"/>
        <v>0</v>
      </c>
      <c r="R68" s="25"/>
      <c r="S68" s="25"/>
      <c r="T68" s="25"/>
      <c r="U68" s="25"/>
      <c r="V68" s="25"/>
      <c r="W68" s="25"/>
    </row>
    <row r="69" spans="1:23" ht="15" thickBot="1" x14ac:dyDescent="0.35">
      <c r="A69" s="16">
        <v>67</v>
      </c>
      <c r="B69" s="20">
        <v>44603</v>
      </c>
      <c r="C69" s="52" t="s">
        <v>42</v>
      </c>
      <c r="D69" s="16"/>
      <c r="E69" s="52" t="s">
        <v>60</v>
      </c>
      <c r="F69" s="16"/>
      <c r="G69" s="18"/>
      <c r="H69" s="13"/>
      <c r="I69" s="14"/>
      <c r="J69" s="14"/>
      <c r="P69" s="34">
        <f t="shared" si="0"/>
        <v>0</v>
      </c>
      <c r="Q69" s="35">
        <f t="shared" si="1"/>
        <v>0</v>
      </c>
      <c r="R69" s="25"/>
      <c r="S69" s="25"/>
      <c r="T69" s="25"/>
      <c r="U69" s="25"/>
      <c r="V69" s="25"/>
      <c r="W69" s="25"/>
    </row>
    <row r="70" spans="1:23" ht="15" thickBot="1" x14ac:dyDescent="0.35">
      <c r="A70" s="16">
        <v>68</v>
      </c>
      <c r="B70" s="20">
        <v>44603</v>
      </c>
      <c r="C70" s="52" t="s">
        <v>28</v>
      </c>
      <c r="D70" s="16"/>
      <c r="E70" s="52" t="s">
        <v>39</v>
      </c>
      <c r="F70" s="16"/>
      <c r="G70" s="18"/>
      <c r="H70" s="13"/>
      <c r="I70" s="14"/>
      <c r="J70" s="14"/>
      <c r="P70" s="34">
        <f t="shared" si="0"/>
        <v>0</v>
      </c>
      <c r="Q70" s="35">
        <f t="shared" si="1"/>
        <v>0</v>
      </c>
      <c r="R70" s="25"/>
      <c r="S70" s="25"/>
      <c r="T70" s="25"/>
      <c r="U70" s="25"/>
      <c r="V70" s="25"/>
      <c r="W70" s="25"/>
    </row>
    <row r="71" spans="1:23" ht="15" thickBot="1" x14ac:dyDescent="0.35">
      <c r="A71" s="16">
        <v>69</v>
      </c>
      <c r="B71" s="20">
        <v>44604</v>
      </c>
      <c r="C71" s="52" t="s">
        <v>4</v>
      </c>
      <c r="D71" s="16"/>
      <c r="E71" s="52" t="s">
        <v>42</v>
      </c>
      <c r="F71" s="16"/>
      <c r="G71" s="18"/>
      <c r="H71" s="13"/>
      <c r="I71" s="14"/>
      <c r="J71" s="14"/>
      <c r="P71" s="34">
        <f t="shared" si="0"/>
        <v>0</v>
      </c>
      <c r="Q71" s="35">
        <f t="shared" si="1"/>
        <v>0</v>
      </c>
      <c r="R71" s="25"/>
      <c r="S71" s="25"/>
      <c r="T71" s="25"/>
      <c r="U71" s="25"/>
      <c r="V71" s="25"/>
      <c r="W71" s="25"/>
    </row>
    <row r="72" spans="1:23" ht="15" thickBot="1" x14ac:dyDescent="0.35">
      <c r="A72" s="16">
        <v>70</v>
      </c>
      <c r="B72" s="20">
        <v>44604</v>
      </c>
      <c r="C72" s="52" t="s">
        <v>59</v>
      </c>
      <c r="D72" s="16"/>
      <c r="E72" s="52" t="s">
        <v>60</v>
      </c>
      <c r="F72" s="16"/>
      <c r="G72" s="18"/>
      <c r="H72" s="13"/>
      <c r="I72" s="14"/>
      <c r="J72" s="14"/>
      <c r="P72" s="34">
        <f t="shared" si="0"/>
        <v>0</v>
      </c>
      <c r="Q72" s="35">
        <f t="shared" si="1"/>
        <v>0</v>
      </c>
      <c r="R72" s="25"/>
      <c r="S72" s="25"/>
      <c r="T72" s="25"/>
      <c r="U72" s="25"/>
      <c r="V72" s="25"/>
      <c r="W72" s="25"/>
    </row>
    <row r="73" spans="1:23" ht="15" thickBot="1" x14ac:dyDescent="0.35">
      <c r="A73" s="16">
        <v>71</v>
      </c>
      <c r="B73" s="20">
        <v>44604</v>
      </c>
      <c r="C73" s="52" t="s">
        <v>3</v>
      </c>
      <c r="D73" s="16"/>
      <c r="E73" s="52" t="s">
        <v>39</v>
      </c>
      <c r="F73" s="16"/>
      <c r="G73" s="18"/>
      <c r="H73" s="13"/>
      <c r="I73" s="14"/>
      <c r="J73" s="14"/>
      <c r="P73" s="34">
        <f t="shared" si="0"/>
        <v>0</v>
      </c>
      <c r="Q73" s="35">
        <f t="shared" si="1"/>
        <v>0</v>
      </c>
      <c r="R73" s="25"/>
      <c r="S73" s="25"/>
      <c r="T73" s="25"/>
      <c r="U73" s="25"/>
      <c r="V73" s="25"/>
      <c r="W73" s="25"/>
    </row>
    <row r="74" spans="1:23" ht="15" thickBot="1" x14ac:dyDescent="0.35">
      <c r="A74" s="16">
        <v>72</v>
      </c>
      <c r="B74" s="20">
        <v>44604</v>
      </c>
      <c r="C74" s="52" t="s">
        <v>5</v>
      </c>
      <c r="D74" s="16"/>
      <c r="E74" s="52" t="s">
        <v>28</v>
      </c>
      <c r="F74" s="16"/>
      <c r="G74" s="18"/>
      <c r="H74" s="13"/>
      <c r="I74" s="14"/>
      <c r="J74" s="14"/>
      <c r="P74" s="36">
        <f t="shared" si="0"/>
        <v>0</v>
      </c>
      <c r="Q74" s="37">
        <f t="shared" si="1"/>
        <v>0</v>
      </c>
      <c r="R74" s="25"/>
      <c r="S74" s="25"/>
      <c r="T74" s="25"/>
      <c r="U74" s="25"/>
      <c r="V74" s="25"/>
      <c r="W74" s="25"/>
    </row>
    <row r="75" spans="1:23" ht="15" thickBot="1" x14ac:dyDescent="0.35">
      <c r="A75" s="88"/>
      <c r="B75" s="89"/>
      <c r="C75" s="89"/>
      <c r="D75" s="89"/>
      <c r="E75" s="89"/>
      <c r="F75" s="89"/>
      <c r="G75" s="90"/>
      <c r="H75" s="13"/>
      <c r="I75" s="14"/>
      <c r="J75" s="14"/>
      <c r="W75" s="25"/>
    </row>
    <row r="76" spans="1:23" ht="15" thickBot="1" x14ac:dyDescent="0.35">
      <c r="A76" s="85" t="s">
        <v>61</v>
      </c>
      <c r="B76" s="86"/>
      <c r="C76" s="86"/>
      <c r="D76" s="86"/>
      <c r="E76" s="86"/>
      <c r="F76" s="86"/>
      <c r="G76" s="87"/>
      <c r="H76" s="13"/>
      <c r="I76" s="14"/>
      <c r="J76" s="14"/>
      <c r="W76" s="25"/>
    </row>
    <row r="77" spans="1:23" ht="15" thickBot="1" x14ac:dyDescent="0.35">
      <c r="A77" s="16" t="s">
        <v>52</v>
      </c>
      <c r="B77" s="20">
        <v>44611</v>
      </c>
      <c r="C77" s="49"/>
      <c r="D77" s="16"/>
      <c r="E77" s="49"/>
      <c r="F77" s="16"/>
      <c r="G77" s="18"/>
      <c r="H77" s="13"/>
      <c r="I77" s="14"/>
      <c r="J77" s="14"/>
      <c r="W77" s="25"/>
    </row>
    <row r="78" spans="1:23" ht="15" thickBot="1" x14ac:dyDescent="0.35">
      <c r="A78" s="16" t="s">
        <v>53</v>
      </c>
      <c r="B78" s="20">
        <v>44611</v>
      </c>
      <c r="C78" s="49"/>
      <c r="D78" s="16"/>
      <c r="E78" s="49"/>
      <c r="F78" s="16"/>
      <c r="G78" s="18"/>
      <c r="H78" s="13"/>
      <c r="I78" s="14"/>
      <c r="J78" s="14"/>
      <c r="W78" s="25"/>
    </row>
    <row r="79" spans="1:23" ht="15" thickBot="1" x14ac:dyDescent="0.35">
      <c r="A79" s="16" t="s">
        <v>54</v>
      </c>
      <c r="B79" s="20">
        <v>44612</v>
      </c>
      <c r="C79" s="49"/>
      <c r="D79" s="16"/>
      <c r="E79" s="49"/>
      <c r="F79" s="16"/>
      <c r="G79" s="18"/>
      <c r="H79" s="13"/>
      <c r="I79" s="14"/>
      <c r="J79" s="14"/>
      <c r="W79" s="25"/>
    </row>
    <row r="80" spans="1:23" ht="15" thickBot="1" x14ac:dyDescent="0.35">
      <c r="A80" s="16"/>
      <c r="B80" s="20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0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0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0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0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0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0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0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0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0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1"/>
      <c r="C90" s="50"/>
      <c r="D90" s="11"/>
      <c r="E90" s="50"/>
      <c r="F90" s="11"/>
      <c r="G90" s="10"/>
      <c r="H90" s="13"/>
      <c r="I90" s="14"/>
      <c r="J90" s="14"/>
    </row>
    <row r="91" spans="1:10" x14ac:dyDescent="0.3">
      <c r="A91" s="12"/>
      <c r="B91" s="21"/>
      <c r="C91" s="50"/>
      <c r="D91" s="11"/>
      <c r="E91" s="50"/>
      <c r="F91" s="11"/>
      <c r="G91" s="10"/>
      <c r="H91" s="13"/>
      <c r="I91" s="14"/>
      <c r="J91" s="14"/>
    </row>
    <row r="92" spans="1:10" x14ac:dyDescent="0.3">
      <c r="A92" s="12"/>
      <c r="B92" s="21"/>
      <c r="C92" s="50"/>
      <c r="D92" s="11"/>
      <c r="E92" s="50"/>
      <c r="F92" s="11"/>
      <c r="G92" s="10"/>
      <c r="H92" s="13"/>
      <c r="I92" s="14"/>
      <c r="J92" s="14"/>
    </row>
    <row r="93" spans="1:10" x14ac:dyDescent="0.3">
      <c r="A93" s="12"/>
      <c r="B93" s="21"/>
      <c r="C93" s="50"/>
      <c r="D93" s="11"/>
      <c r="E93" s="50"/>
      <c r="F93" s="11"/>
      <c r="G93" s="10"/>
      <c r="H93" s="13"/>
      <c r="I93" s="14"/>
      <c r="J93" s="14"/>
    </row>
    <row r="94" spans="1:10" x14ac:dyDescent="0.3">
      <c r="A94" s="12"/>
      <c r="B94" s="21"/>
      <c r="C94" s="50"/>
      <c r="D94" s="11"/>
      <c r="E94" s="50"/>
      <c r="F94" s="11"/>
      <c r="G94" s="10"/>
      <c r="H94" s="13"/>
      <c r="I94" s="14"/>
      <c r="J94" s="14"/>
    </row>
    <row r="95" spans="1:10" x14ac:dyDescent="0.3">
      <c r="A95" s="12"/>
      <c r="B95" s="21"/>
      <c r="C95" s="50"/>
      <c r="D95" s="11"/>
      <c r="E95" s="50"/>
      <c r="F95" s="11"/>
      <c r="G95" s="10"/>
      <c r="H95" s="13"/>
      <c r="I95" s="14"/>
      <c r="J95" s="14"/>
    </row>
    <row r="96" spans="1:10" x14ac:dyDescent="0.3">
      <c r="A96" s="12"/>
      <c r="B96" s="21"/>
      <c r="C96" s="50"/>
      <c r="D96" s="11"/>
      <c r="E96" s="50"/>
      <c r="F96" s="11"/>
      <c r="G96" s="10"/>
      <c r="H96" s="13"/>
      <c r="I96" s="14"/>
      <c r="J96" s="14"/>
    </row>
    <row r="97" spans="1:10" x14ac:dyDescent="0.3">
      <c r="A97" s="12"/>
      <c r="B97" s="21"/>
      <c r="C97" s="50"/>
      <c r="D97" s="11"/>
      <c r="E97" s="50"/>
      <c r="F97" s="11"/>
      <c r="G97" s="10"/>
      <c r="H97" s="13"/>
      <c r="I97" s="14"/>
      <c r="J97" s="14"/>
    </row>
    <row r="98" spans="1:10" x14ac:dyDescent="0.3">
      <c r="A98" s="12"/>
      <c r="B98" s="21"/>
      <c r="C98" s="50"/>
      <c r="D98" s="11"/>
      <c r="E98" s="50"/>
      <c r="F98" s="11"/>
      <c r="G98" s="10"/>
      <c r="H98" s="13"/>
      <c r="I98" s="14"/>
      <c r="J98" s="14"/>
    </row>
    <row r="99" spans="1:10" x14ac:dyDescent="0.3">
      <c r="A99" s="12"/>
      <c r="B99" s="21"/>
      <c r="C99" s="50"/>
      <c r="D99" s="11"/>
      <c r="E99" s="50"/>
      <c r="F99" s="11"/>
      <c r="G99" s="10"/>
      <c r="H99" s="13"/>
      <c r="I99" s="14"/>
      <c r="J99" s="14"/>
    </row>
    <row r="100" spans="1:10" x14ac:dyDescent="0.3">
      <c r="A100" s="12"/>
      <c r="B100" s="21"/>
      <c r="C100" s="50"/>
      <c r="D100" s="11"/>
      <c r="E100" s="50"/>
      <c r="F100" s="11"/>
      <c r="G100" s="10"/>
      <c r="H100" s="13"/>
      <c r="I100" s="14"/>
      <c r="J100" s="14"/>
    </row>
    <row r="101" spans="1:10" x14ac:dyDescent="0.3">
      <c r="A101" s="12"/>
      <c r="B101" s="21"/>
      <c r="C101" s="50"/>
      <c r="D101" s="11"/>
      <c r="E101" s="50"/>
      <c r="F101" s="11"/>
      <c r="G101" s="10"/>
      <c r="H101" s="13"/>
      <c r="I101" s="14"/>
      <c r="J101" s="14"/>
    </row>
    <row r="102" spans="1:10" x14ac:dyDescent="0.3">
      <c r="A102" s="12"/>
      <c r="B102" s="21"/>
      <c r="C102" s="50"/>
      <c r="D102" s="11"/>
      <c r="E102" s="50"/>
      <c r="F102" s="11"/>
      <c r="G102" s="10"/>
      <c r="H102" s="13"/>
      <c r="I102" s="14"/>
      <c r="J102" s="14"/>
    </row>
    <row r="103" spans="1:10" x14ac:dyDescent="0.3">
      <c r="A103" s="8"/>
      <c r="B103" s="22"/>
      <c r="C103" s="50"/>
      <c r="D103" s="11"/>
      <c r="E103" s="50"/>
      <c r="F103" s="11"/>
      <c r="G103" s="9"/>
      <c r="H103" s="13"/>
      <c r="I103" s="14"/>
      <c r="J103" s="14"/>
    </row>
    <row r="104" spans="1:10" x14ac:dyDescent="0.3">
      <c r="A104" s="8"/>
      <c r="B104" s="22"/>
      <c r="C104" s="51"/>
      <c r="D104" s="8"/>
      <c r="E104" s="51"/>
      <c r="F104" s="8"/>
      <c r="G104" s="9"/>
      <c r="H104" s="13"/>
      <c r="I104" s="14"/>
      <c r="J104" s="14"/>
    </row>
    <row r="105" spans="1:10" x14ac:dyDescent="0.3">
      <c r="A105" s="8"/>
      <c r="B105" s="22"/>
      <c r="C105" s="51"/>
      <c r="D105" s="8"/>
      <c r="E105" s="51"/>
      <c r="F105" s="8"/>
      <c r="G105" s="9"/>
      <c r="H105" s="13"/>
      <c r="I105" s="14"/>
      <c r="J105" s="14"/>
    </row>
    <row r="106" spans="1:10" x14ac:dyDescent="0.3">
      <c r="A106" s="8"/>
      <c r="B106" s="22"/>
      <c r="C106" s="51"/>
      <c r="D106" s="8"/>
      <c r="E106" s="51"/>
      <c r="F106" s="8"/>
      <c r="G106" s="9"/>
      <c r="H106" s="13"/>
      <c r="I106" s="14"/>
      <c r="J106" s="14"/>
    </row>
    <row r="107" spans="1:10" x14ac:dyDescent="0.3">
      <c r="A107" s="8"/>
      <c r="B107" s="22"/>
      <c r="C107" s="51"/>
      <c r="D107" s="8"/>
      <c r="E107" s="51"/>
      <c r="F107" s="8"/>
      <c r="G107" s="9"/>
      <c r="H107" s="13"/>
      <c r="I107" s="14"/>
      <c r="J107" s="14"/>
    </row>
    <row r="108" spans="1:10" x14ac:dyDescent="0.3">
      <c r="A108" s="8"/>
      <c r="B108" s="22"/>
      <c r="C108" s="51"/>
      <c r="D108" s="8"/>
      <c r="E108" s="51"/>
      <c r="F108" s="8"/>
      <c r="G108" s="9"/>
      <c r="H108" s="13"/>
      <c r="I108" s="14"/>
      <c r="J108" s="14"/>
    </row>
    <row r="109" spans="1:10" x14ac:dyDescent="0.3">
      <c r="A109" s="8"/>
      <c r="B109" s="22"/>
      <c r="C109" s="51"/>
      <c r="D109" s="8"/>
      <c r="E109" s="51"/>
      <c r="F109" s="8"/>
      <c r="G109" s="9"/>
      <c r="H109" s="13"/>
      <c r="I109" s="14"/>
      <c r="J109" s="14"/>
    </row>
    <row r="110" spans="1:10" x14ac:dyDescent="0.3">
      <c r="A110" s="8"/>
      <c r="B110" s="22"/>
      <c r="C110" s="51"/>
      <c r="D110" s="8"/>
      <c r="E110" s="51"/>
      <c r="F110" s="8"/>
      <c r="G110" s="9"/>
      <c r="H110" s="13"/>
      <c r="I110" s="14"/>
      <c r="J110" s="14"/>
    </row>
    <row r="111" spans="1:10" x14ac:dyDescent="0.3">
      <c r="C111" s="51"/>
      <c r="D111" s="8"/>
      <c r="E111" s="51"/>
      <c r="F111" s="8"/>
    </row>
    <row r="112" spans="1:10" x14ac:dyDescent="0.3">
      <c r="H112">
        <f>D113+F113</f>
        <v>76</v>
      </c>
    </row>
    <row r="113" spans="4:6" x14ac:dyDescent="0.3">
      <c r="D113" s="1">
        <f>SUM(D3:D111)</f>
        <v>38</v>
      </c>
      <c r="F113" s="1">
        <f>SUM(F3:F111)</f>
        <v>38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2021-10-11T17:09:37Z</dcterms:modified>
</cp:coreProperties>
</file>