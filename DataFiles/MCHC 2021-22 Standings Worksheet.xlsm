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50" documentId="8_{970098D5-2AA6-4EE8-9507-3C4E4A614472}" xr6:coauthVersionLast="47" xr6:coauthVersionMax="47" xr10:uidLastSave="{DC3AB0B1-7601-4529-8E54-AF1804AA8169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P30" i="1"/>
  <c r="P29" i="1"/>
  <c r="Q29" i="1" s="1"/>
  <c r="P28" i="1"/>
  <c r="Q28" i="1" s="1"/>
  <c r="P27" i="1"/>
  <c r="P26" i="1"/>
  <c r="P25" i="1"/>
  <c r="P24" i="1"/>
  <c r="P23" i="1"/>
  <c r="P22" i="1"/>
  <c r="P21" i="1"/>
  <c r="P20" i="1"/>
  <c r="P19" i="1"/>
  <c r="P18" i="1"/>
  <c r="P17" i="1"/>
  <c r="I15" i="2"/>
  <c r="J15" i="2"/>
  <c r="Q55" i="1"/>
  <c r="Q54" i="1"/>
  <c r="Q46" i="1"/>
  <c r="Q31" i="1"/>
  <c r="Q30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6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7" i="1"/>
  <c r="Q26" i="1"/>
  <c r="Q25" i="1"/>
  <c r="Q24" i="1"/>
  <c r="Q23" i="1"/>
  <c r="Q22" i="1"/>
  <c r="Q21" i="1"/>
  <c r="Q20" i="1"/>
  <c r="Q19" i="1"/>
  <c r="Q17" i="1"/>
  <c r="Q18" i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<sst xmlns="http://schemas.openxmlformats.org/spreadsheetml/2006/main" count="346" uniqueCount="80">
  <si>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</si>
  <si>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</si>
  <si>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</si>
  <si>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</si>
  <si>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</si>
  <si>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</si>
  <si>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</si>
  <si>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</si>
  <si>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</si>
  <si>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</si>
  <si>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</si>
  <si>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</si>
  <si>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</si>
  <si>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</si>
  <si>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</si>
  <si>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</si>
  <si>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</si>
  <si>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</si>
  <si>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</si>
  <si>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</si>
  <si>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</si>
  <si>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</si>
  <si>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</si>
  <si>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</si>
  <si>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</si>
  <si>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</si>
  <si>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</si>
  <si>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</si>
  <si>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</si>
  <si>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</si>
  <si>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</si>
  <si>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</si>
  <si>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</si>
  <si>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</si>
  <si>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</si>
  <si>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</si>
  <si>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</si>
  <si>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</si>
  <si>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</si>
  <si>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</si>
  <si>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</si>
  <si>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</si>
  <si>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</si>
  <si>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</si>
  <si>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</si>
  <si>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</si>
  <si>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</si>
  <si>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</si>
  <si>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</si>
  <si>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</si>
  <si>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</si>
  <si>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</si>
  <si>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</si>
  <si>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</si>
  <si>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</si>
  <si>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</si>
  <si>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</si>
  <si>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</si>
  <si>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</si>
  <si>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</si>
  <si>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</si>
  <si>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</si>
  <si>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</si>
  <si>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</si>
  <si>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</si>
  <si>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</si>
  <si>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</si>
  <si>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</si>
  <si>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</si>
  <si>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</si>
  <si>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</si>
  <si>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</si>
  <si>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</si>
  <si>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</si>
  <si>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</si>
  <si>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</si>
  <si>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</si>
  <si>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</si>
  <si>
    <t>Western CT (Away) Wins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</si>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</sst>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16" sqref="S1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5</v>
      </c>
      <c r="E4" s="52">
        <v>5</v>
      </c>
      <c r="F4" s="52">
        <v>0</v>
      </c>
      <c r="G4" s="52">
        <v>0</v>
      </c>
      <c r="H4" s="96">
        <v>10</v>
      </c>
      <c r="I4" s="52">
        <v>33</v>
      </c>
      <c r="J4" s="53">
        <v>15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4</v>
      </c>
      <c r="D5" s="54">
        <v>5</v>
      </c>
      <c r="E5" s="46">
        <v>3</v>
      </c>
      <c r="F5" s="46">
        <v>1</v>
      </c>
      <c r="G5" s="46">
        <v>1</v>
      </c>
      <c r="H5" s="97">
        <v>7</v>
      </c>
      <c r="I5" s="46">
        <v>22</v>
      </c>
      <c r="J5" s="47">
        <v>18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60</v>
      </c>
      <c r="D6" s="55">
        <v>5</v>
      </c>
      <c r="E6" s="48">
        <v>2</v>
      </c>
      <c r="F6" s="48">
        <v>1</v>
      </c>
      <c r="G6" s="48">
        <v>2</v>
      </c>
      <c r="H6" s="98">
        <v>6</v>
      </c>
      <c r="I6" s="48">
        <v>24</v>
      </c>
      <c r="J6" s="49">
        <v>27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47</v>
      </c>
      <c r="D7" s="56">
        <v>3</v>
      </c>
      <c r="E7" s="50">
        <v>2</v>
      </c>
      <c r="F7" s="50">
        <v>0</v>
      </c>
      <c r="G7" s="50">
        <v>1</v>
      </c>
      <c r="H7" s="99">
        <v>5</v>
      </c>
      <c r="I7" s="50">
        <v>8</v>
      </c>
      <c r="J7" s="51">
        <v>6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5</v>
      </c>
      <c r="D8" s="57">
        <v>4</v>
      </c>
      <c r="E8" s="52">
        <v>2</v>
      </c>
      <c r="F8" s="52">
        <v>2</v>
      </c>
      <c r="G8" s="52">
        <v>0</v>
      </c>
      <c r="H8" s="96">
        <v>4</v>
      </c>
      <c r="I8" s="52">
        <v>27</v>
      </c>
      <c r="J8" s="53">
        <v>23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28</v>
      </c>
      <c r="D9" s="54">
        <v>3</v>
      </c>
      <c r="E9" s="46">
        <v>1</v>
      </c>
      <c r="F9" s="46">
        <v>2</v>
      </c>
      <c r="G9" s="46">
        <v>0</v>
      </c>
      <c r="H9" s="97">
        <v>2</v>
      </c>
      <c r="I9" s="46">
        <v>13</v>
      </c>
      <c r="J9" s="47">
        <v>20</v>
      </c>
      <c r="K9" s="105"/>
    </row>
    <row r="10" spans="1:16" ht="18" customHeight="1" x14ac:dyDescent="0.3">
      <c r="A10" s="105"/>
      <c r="B10" s="64">
        <v>7</v>
      </c>
      <c r="C10" s="59" t="s">
        <v>30</v>
      </c>
      <c r="D10" s="54">
        <v>5</v>
      </c>
      <c r="E10" s="46">
        <v>1</v>
      </c>
      <c r="F10" s="46">
        <v>4</v>
      </c>
      <c r="G10" s="46">
        <v>0</v>
      </c>
      <c r="H10" s="97">
        <v>2</v>
      </c>
      <c r="I10" s="46">
        <v>18</v>
      </c>
      <c r="J10" s="47">
        <v>25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3</v>
      </c>
      <c r="D11" s="54">
        <v>0</v>
      </c>
      <c r="E11" s="46">
        <v>0</v>
      </c>
      <c r="F11" s="46">
        <v>0</v>
      </c>
      <c r="G11" s="46">
        <v>0</v>
      </c>
      <c r="H11" s="97">
        <v>0</v>
      </c>
      <c r="I11" s="46">
        <v>0</v>
      </c>
      <c r="J11" s="47">
        <v>0</v>
      </c>
      <c r="K11" s="105"/>
    </row>
    <row r="12" spans="1:16" ht="16.8" thickTop="1" thickBot="1" x14ac:dyDescent="0.35">
      <c r="A12" s="105"/>
      <c r="B12" s="65">
        <v>9</v>
      </c>
      <c r="C12" s="59" t="s">
        <v>39</v>
      </c>
      <c r="D12" s="55">
        <v>2</v>
      </c>
      <c r="E12" s="48">
        <v>0</v>
      </c>
      <c r="F12" s="48">
        <v>2</v>
      </c>
      <c r="G12" s="48">
        <v>0</v>
      </c>
      <c r="H12" s="98">
        <v>0</v>
      </c>
      <c r="I12" s="48">
        <v>8</v>
      </c>
      <c r="J12" s="49">
        <v>19</v>
      </c>
      <c r="K12" s="105"/>
      <c r="M12" s="102" t="s">
        <v>24</v>
      </c>
      <c r="N12" s="102"/>
      <c r="O12" s="102"/>
      <c r="P12" s="5">
        <v>19</v>
      </c>
    </row>
    <row r="13" spans="1:16" ht="16.2" thickTop="1" x14ac:dyDescent="0.3">
      <c r="A13" s="61"/>
      <c r="B13" s="109" t="s">
        <v>75</v>
      </c>
      <c r="C13" s="110"/>
      <c r="D13" s="110"/>
      <c r="E13" s="110"/>
      <c r="F13" s="110"/>
      <c r="G13" s="111" cm="1">
        <f t="array" aca="1" ref="G13" ca="1">LastModified()</f>
        <v>44501.535590277781</v>
      </c>
      <c r="H13" s="111"/>
      <c r="I13" s="111"/>
      <c r="J13" s="112"/>
      <c r="K13" s="61"/>
      <c r="M13" s="95"/>
      <c r="N13" s="95"/>
      <c r="O13" s="95"/>
      <c r="P13" s="24"/>
    </row>
    <row r="14" spans="1:16" ht="24.9" customHeight="1" thickBot="1" x14ac:dyDescent="0.35">
      <c r="B14" s="106" t="s">
        <v>74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153</v>
      </c>
      <c r="J15" s="7">
        <f>SUM(J4:J12)</f>
        <v>153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zoomScaleNormal="100" workbookViewId="0">
      <selection activeCell="S22" sqref="S22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16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64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6</v>
      </c>
      <c r="U3" s="28">
        <f>IF($T$2&gt;0, T3/$T$2, 0)</f>
        <v>0.375</v>
      </c>
      <c r="V3" s="24"/>
      <c r="W3" s="24"/>
    </row>
    <row r="4" spans="1:23" ht="15.6" thickTop="1" thickBot="1" x14ac:dyDescent="0.35">
      <c r="A4" s="83">
        <v>4</v>
      </c>
      <c r="B4" s="77">
        <v>44477</v>
      </c>
      <c r="C4" s="78" t="s">
        <v>59</v>
      </c>
      <c r="D4" s="76">
        <v>6</v>
      </c>
      <c r="E4" s="78" t="s">
        <v>42</v>
      </c>
      <c r="F4" s="76">
        <v>4</v>
      </c>
      <c r="G4" s="84"/>
      <c r="H4" s="67" t="s">
        <v>66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6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4</v>
      </c>
      <c r="U4" s="28">
        <f>IF($T$2&gt;0, T4/$T$2, 0)</f>
        <v>0.25</v>
      </c>
      <c r="V4" s="24"/>
      <c r="W4" s="24"/>
    </row>
    <row r="5" spans="1:23" ht="15.6" thickTop="1" thickBot="1" x14ac:dyDescent="0.35">
      <c r="A5" s="83">
        <v>5</v>
      </c>
      <c r="B5" s="77">
        <v>44477</v>
      </c>
      <c r="C5" s="78" t="s">
        <v>5</v>
      </c>
      <c r="D5" s="76">
        <v>7</v>
      </c>
      <c r="E5" s="78" t="s">
        <v>60</v>
      </c>
      <c r="F5" s="76">
        <v>4</v>
      </c>
      <c r="G5" s="84"/>
      <c r="H5" s="67" t="s">
        <v>67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0.125</v>
      </c>
      <c r="V5" s="24"/>
      <c r="W5" s="24"/>
    </row>
    <row r="6" spans="1:23" ht="15.6" thickTop="1" thickBot="1" x14ac:dyDescent="0.35">
      <c r="A6" s="83">
        <v>6</v>
      </c>
      <c r="B6" s="77">
        <v>44477</v>
      </c>
      <c r="C6" s="78" t="s">
        <v>4</v>
      </c>
      <c r="D6" s="76">
        <v>2</v>
      </c>
      <c r="E6" s="78" t="s">
        <v>47</v>
      </c>
      <c r="F6" s="76">
        <v>1</v>
      </c>
      <c r="G6" s="84" t="s">
        <v>65</v>
      </c>
      <c r="H6" s="67" t="s">
        <v>68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2</v>
      </c>
      <c r="U6" s="28">
        <f>IF($T$2&gt;0, T6/$T$2, 0)</f>
        <v>0.125</v>
      </c>
      <c r="V6" s="24"/>
      <c r="W6" s="24"/>
    </row>
    <row r="7" spans="1:23" ht="15.6" thickTop="1" thickBot="1" x14ac:dyDescent="0.35">
      <c r="A7" s="83">
        <v>7</v>
      </c>
      <c r="B7" s="77">
        <v>44478</v>
      </c>
      <c r="C7" s="78" t="s">
        <v>5</v>
      </c>
      <c r="D7" s="76">
        <v>5</v>
      </c>
      <c r="E7" s="78" t="s">
        <v>59</v>
      </c>
      <c r="F7" s="76">
        <v>7</v>
      </c>
      <c r="G7" s="84"/>
      <c r="H7" s="67" t="s">
        <v>64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0.125</v>
      </c>
      <c r="V7" s="24"/>
      <c r="W7" s="24"/>
    </row>
    <row r="8" spans="1:23" ht="15.6" thickTop="1" thickBot="1" x14ac:dyDescent="0.35">
      <c r="A8" s="83">
        <v>8</v>
      </c>
      <c r="B8" s="77">
        <v>44478</v>
      </c>
      <c r="C8" s="78" t="s">
        <v>60</v>
      </c>
      <c r="D8" s="76">
        <v>7</v>
      </c>
      <c r="E8" s="78" t="s">
        <v>28</v>
      </c>
      <c r="F8" s="76">
        <v>6</v>
      </c>
      <c r="G8" s="84"/>
      <c r="H8" s="67" t="s">
        <v>69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9</v>
      </c>
      <c r="B9" s="77">
        <v>44478</v>
      </c>
      <c r="C9" s="78" t="s">
        <v>42</v>
      </c>
      <c r="D9" s="76">
        <v>7</v>
      </c>
      <c r="E9" s="78" t="s">
        <v>39</v>
      </c>
      <c r="F9" s="76">
        <v>4</v>
      </c>
      <c r="G9" s="84"/>
      <c r="H9" s="67" t="s">
        <v>70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10</v>
      </c>
      <c r="B10" s="77">
        <v>44484</v>
      </c>
      <c r="C10" s="78" t="s">
        <v>60</v>
      </c>
      <c r="D10" s="76">
        <v>3</v>
      </c>
      <c r="E10" s="78" t="s">
        <v>47</v>
      </c>
      <c r="F10" s="76">
        <v>4</v>
      </c>
      <c r="G10" s="84" t="s">
        <v>71</v>
      </c>
      <c r="H10" s="67" t="s">
        <v>72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11</v>
      </c>
      <c r="B11" s="77">
        <v>44485</v>
      </c>
      <c r="C11" s="78" t="s">
        <v>42</v>
      </c>
      <c r="D11" s="76">
        <v>1</v>
      </c>
      <c r="E11" s="78" t="s">
        <v>59</v>
      </c>
      <c r="F11" s="76">
        <v>3</v>
      </c>
      <c r="G11" s="84"/>
      <c r="H11" s="67" t="s">
        <v>64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12</v>
      </c>
      <c r="B12" s="77">
        <v>44485</v>
      </c>
      <c r="C12" s="78" t="s">
        <v>4</v>
      </c>
      <c r="D12" s="76">
        <v>8</v>
      </c>
      <c r="E12" s="78" t="s">
        <v>28</v>
      </c>
      <c r="F12" s="76">
        <v>1</v>
      </c>
      <c r="G12" s="84"/>
      <c r="H12" s="67" t="s">
        <v>73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83">
        <v>13</v>
      </c>
      <c r="B13" s="77">
        <v>44491</v>
      </c>
      <c r="C13" s="78" t="s">
        <v>5</v>
      </c>
      <c r="D13" s="76">
        <v>9</v>
      </c>
      <c r="E13" s="78" t="s">
        <v>42</v>
      </c>
      <c r="F13" s="76">
        <v>5</v>
      </c>
      <c r="G13" s="84"/>
      <c r="H13" s="67" t="s">
        <v>67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83">
        <v>14</v>
      </c>
      <c r="B14" s="77">
        <v>44491</v>
      </c>
      <c r="C14" s="78" t="s">
        <v>28</v>
      </c>
      <c r="D14" s="76">
        <v>6</v>
      </c>
      <c r="E14" s="78" t="s">
        <v>60</v>
      </c>
      <c r="F14" s="76">
        <v>5</v>
      </c>
      <c r="G14" s="84" t="s">
        <v>71</v>
      </c>
      <c r="H14" s="67" t="s">
        <v>76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83">
        <v>16</v>
      </c>
      <c r="B15" s="77" t="s">
        <v>63</v>
      </c>
      <c r="C15" s="78" t="s">
        <v>47</v>
      </c>
      <c r="D15" s="76"/>
      <c r="E15" s="78" t="s">
        <v>39</v>
      </c>
      <c r="F15" s="76"/>
      <c r="G15" s="84"/>
      <c r="H15" s="67"/>
      <c r="I15" s="14"/>
      <c r="J15" s="14"/>
      <c r="P15" s="33">
        <f t="shared" si="0"/>
        <v>0</v>
      </c>
      <c r="Q15" s="34">
        <f t="shared" si="1"/>
        <v>0</v>
      </c>
      <c r="R15" s="24"/>
      <c r="S15" s="24"/>
      <c r="T15" s="24"/>
      <c r="U15" s="24"/>
      <c r="V15" s="24"/>
      <c r="W15" s="24"/>
    </row>
    <row r="16" spans="1:23" x14ac:dyDescent="0.3">
      <c r="A16" s="83">
        <v>15</v>
      </c>
      <c r="B16" s="77">
        <v>44493</v>
      </c>
      <c r="C16" s="78" t="s">
        <v>60</v>
      </c>
      <c r="D16" s="76">
        <v>5</v>
      </c>
      <c r="E16" s="78" t="s">
        <v>4</v>
      </c>
      <c r="F16" s="76">
        <v>4</v>
      </c>
      <c r="G16" s="84" t="s">
        <v>65</v>
      </c>
      <c r="H16" s="67" t="s">
        <v>77</v>
      </c>
      <c r="I16" s="14">
        <v>2</v>
      </c>
      <c r="J16" s="14">
        <v>7</v>
      </c>
      <c r="P16" s="33">
        <f t="shared" si="0"/>
        <v>1</v>
      </c>
      <c r="Q16" s="34">
        <f t="shared" si="1"/>
        <v>1</v>
      </c>
      <c r="R16" s="24"/>
      <c r="S16" s="24"/>
      <c r="T16" s="24"/>
      <c r="U16" s="24"/>
      <c r="V16" s="24"/>
      <c r="W16" s="24"/>
    </row>
    <row r="17" spans="1:23" x14ac:dyDescent="0.3">
      <c r="A17" s="83">
        <v>17</v>
      </c>
      <c r="B17" s="77">
        <v>44498</v>
      </c>
      <c r="C17" s="78" t="s">
        <v>47</v>
      </c>
      <c r="D17" s="76">
        <v>3</v>
      </c>
      <c r="E17" s="78" t="s">
        <v>42</v>
      </c>
      <c r="F17" s="76">
        <v>1</v>
      </c>
      <c r="G17" s="84"/>
      <c r="H17" s="67" t="s">
        <v>78</v>
      </c>
      <c r="I17" s="14">
        <v>9</v>
      </c>
      <c r="J17" s="14">
        <v>6</v>
      </c>
      <c r="P17" s="33">
        <f>D17-F17</f>
        <v>2</v>
      </c>
      <c r="Q17" s="34">
        <f>ABS(P17)</f>
        <v>2</v>
      </c>
      <c r="R17" s="24"/>
      <c r="S17" s="24"/>
      <c r="T17" s="24"/>
      <c r="U17" s="24"/>
      <c r="V17" s="24"/>
      <c r="W17" s="24"/>
    </row>
    <row r="18" spans="1:23" x14ac:dyDescent="0.3">
      <c r="A18" s="83">
        <v>18</v>
      </c>
      <c r="B18" s="77">
        <v>44498</v>
      </c>
      <c r="C18" s="78" t="s">
        <v>5</v>
      </c>
      <c r="D18" s="76">
        <v>6</v>
      </c>
      <c r="E18" s="78" t="s">
        <v>4</v>
      </c>
      <c r="F18" s="76">
        <v>7</v>
      </c>
      <c r="G18" s="84"/>
      <c r="H18" s="67" t="s">
        <v>79</v>
      </c>
      <c r="I18" s="14">
        <v>1</v>
      </c>
      <c r="J18" s="14">
        <v>7</v>
      </c>
      <c r="P18" s="33">
        <f>D18-F18</f>
        <v>-1</v>
      </c>
      <c r="Q18" s="34">
        <f>ABS(P18)</f>
        <v>1</v>
      </c>
      <c r="R18" s="24"/>
      <c r="S18" s="24"/>
      <c r="T18" s="24"/>
      <c r="U18" s="24"/>
      <c r="V18" s="24"/>
      <c r="W18" s="24"/>
    </row>
    <row r="19" spans="1:23" x14ac:dyDescent="0.3">
      <c r="A19" s="83">
        <v>19</v>
      </c>
      <c r="B19" s="77">
        <v>44499</v>
      </c>
      <c r="C19" s="78" t="s">
        <v>4</v>
      </c>
      <c r="D19" s="76">
        <v>1</v>
      </c>
      <c r="E19" s="78" t="s">
        <v>59</v>
      </c>
      <c r="F19" s="76">
        <v>5</v>
      </c>
      <c r="G19" s="84"/>
      <c r="H19" s="67" t="s">
        <v>64</v>
      </c>
      <c r="I19" s="14">
        <v>7</v>
      </c>
      <c r="J19" s="14">
        <v>5</v>
      </c>
      <c r="P19" s="33">
        <f>D19-F19</f>
        <v>-4</v>
      </c>
      <c r="Q19" s="34">
        <f t="shared" si="1"/>
        <v>4</v>
      </c>
      <c r="R19" s="24"/>
      <c r="S19" s="24"/>
      <c r="T19" s="24"/>
      <c r="U19" s="24"/>
      <c r="V19" s="24"/>
      <c r="W19" s="24"/>
    </row>
    <row r="20" spans="1:23" x14ac:dyDescent="0.3">
      <c r="A20" s="83">
        <v>20</v>
      </c>
      <c r="B20" s="77">
        <v>44505</v>
      </c>
      <c r="C20" s="78" t="s">
        <v>60</v>
      </c>
      <c r="D20" s="76"/>
      <c r="E20" s="78" t="s">
        <v>42</v>
      </c>
      <c r="F20" s="76"/>
      <c r="G20" s="84"/>
      <c r="H20" s="67"/>
      <c r="I20" s="14"/>
      <c r="J20" s="14"/>
      <c r="P20" s="33">
        <f>D20-F20</f>
        <v>0</v>
      </c>
      <c r="Q20" s="34">
        <f t="shared" si="1"/>
        <v>0</v>
      </c>
      <c r="R20" s="24"/>
      <c r="S20" s="24"/>
      <c r="T20" s="24"/>
      <c r="U20" s="24"/>
      <c r="V20" s="24"/>
      <c r="W20" s="24"/>
    </row>
    <row r="21" spans="1:23" x14ac:dyDescent="0.3">
      <c r="A21" s="83">
        <v>21</v>
      </c>
      <c r="B21" s="77">
        <v>44506</v>
      </c>
      <c r="C21" s="78" t="s">
        <v>47</v>
      </c>
      <c r="D21" s="76"/>
      <c r="E21" s="78" t="s">
        <v>4</v>
      </c>
      <c r="F21" s="76"/>
      <c r="G21" s="84"/>
      <c r="H21" s="67"/>
      <c r="I21" s="14"/>
      <c r="J21" s="14"/>
      <c r="P21" s="33">
        <f t="shared" ref="P21:P74" si="2">D21-F21</f>
        <v>0</v>
      </c>
      <c r="Q21" s="34">
        <f t="shared" si="1"/>
        <v>0</v>
      </c>
      <c r="R21" s="24"/>
      <c r="S21" s="24"/>
      <c r="T21" s="24"/>
      <c r="U21" s="24"/>
      <c r="V21" s="24"/>
      <c r="W21" s="24"/>
    </row>
    <row r="22" spans="1:23" x14ac:dyDescent="0.3">
      <c r="A22" s="83">
        <v>22</v>
      </c>
      <c r="B22" s="77">
        <v>44506</v>
      </c>
      <c r="C22" s="78" t="s">
        <v>39</v>
      </c>
      <c r="D22" s="76"/>
      <c r="E22" s="78" t="s">
        <v>60</v>
      </c>
      <c r="F22" s="76"/>
      <c r="G22" s="84"/>
      <c r="H22" s="67"/>
      <c r="I22" s="14"/>
      <c r="J22" s="14"/>
      <c r="P22" s="33">
        <f t="shared" si="2"/>
        <v>0</v>
      </c>
      <c r="Q22" s="34">
        <f t="shared" si="1"/>
        <v>0</v>
      </c>
      <c r="R22" s="24"/>
      <c r="S22" s="24"/>
      <c r="T22" s="24"/>
      <c r="U22" s="24"/>
      <c r="V22" s="24"/>
      <c r="W22" s="24"/>
    </row>
    <row r="23" spans="1:23" x14ac:dyDescent="0.3">
      <c r="A23" s="83">
        <v>23</v>
      </c>
      <c r="B23" s="77">
        <v>44506</v>
      </c>
      <c r="C23" s="78" t="s">
        <v>42</v>
      </c>
      <c r="D23" s="76"/>
      <c r="E23" s="78" t="s">
        <v>5</v>
      </c>
      <c r="F23" s="76"/>
      <c r="G23" s="84"/>
      <c r="H23" s="67"/>
      <c r="I23" s="14"/>
      <c r="J23" s="14"/>
      <c r="P23" s="33">
        <f t="shared" si="2"/>
        <v>0</v>
      </c>
      <c r="Q23" s="34">
        <f t="shared" si="1"/>
        <v>0</v>
      </c>
      <c r="R23" s="24"/>
      <c r="S23" s="24"/>
      <c r="T23" s="24"/>
      <c r="U23" s="24"/>
      <c r="V23" s="24"/>
      <c r="W23" s="24"/>
    </row>
    <row r="24" spans="1:23" x14ac:dyDescent="0.3">
      <c r="A24" s="83">
        <v>3</v>
      </c>
      <c r="B24" s="77">
        <v>44508</v>
      </c>
      <c r="C24" s="78" t="s">
        <v>39</v>
      </c>
      <c r="D24" s="76"/>
      <c r="E24" s="78" t="s">
        <v>4</v>
      </c>
      <c r="F24" s="76"/>
      <c r="G24" s="84"/>
      <c r="H24" s="67"/>
      <c r="I24" s="14"/>
      <c r="J24" s="14"/>
      <c r="P24" s="33">
        <f t="shared" si="2"/>
        <v>0</v>
      </c>
      <c r="Q24" s="34">
        <f t="shared" si="1"/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24</v>
      </c>
      <c r="B25" s="77">
        <v>44512</v>
      </c>
      <c r="C25" s="78" t="s">
        <v>59</v>
      </c>
      <c r="D25" s="76"/>
      <c r="E25" s="78" t="s">
        <v>47</v>
      </c>
      <c r="F25" s="76"/>
      <c r="G25" s="84"/>
      <c r="H25" s="67"/>
      <c r="I25" s="14"/>
      <c r="J25" s="14"/>
      <c r="P25" s="33">
        <f t="shared" si="2"/>
        <v>0</v>
      </c>
      <c r="Q25" s="34">
        <f t="shared" si="1"/>
        <v>0</v>
      </c>
      <c r="R25" s="24"/>
      <c r="S25" s="24"/>
      <c r="T25" s="24"/>
      <c r="U25" s="24"/>
      <c r="V25" s="24"/>
      <c r="W25" s="24"/>
    </row>
    <row r="26" spans="1:23" x14ac:dyDescent="0.3">
      <c r="A26" s="83">
        <v>25</v>
      </c>
      <c r="B26" s="77">
        <v>44512</v>
      </c>
      <c r="C26" s="78" t="s">
        <v>3</v>
      </c>
      <c r="D26" s="76"/>
      <c r="E26" s="78" t="s">
        <v>42</v>
      </c>
      <c r="F26" s="76"/>
      <c r="G26" s="84"/>
      <c r="H26" s="67"/>
      <c r="I26" s="14"/>
      <c r="J26" s="14"/>
      <c r="N26">
        <f>LOOKUP(C27,M1:M10,N1:N10)</f>
        <v>2</v>
      </c>
      <c r="P26" s="33">
        <f t="shared" si="2"/>
        <v>0</v>
      </c>
      <c r="Q26" s="34">
        <f t="shared" si="1"/>
        <v>0</v>
      </c>
      <c r="R26" s="24"/>
      <c r="S26" s="24"/>
      <c r="T26" s="24"/>
      <c r="U26" s="24"/>
    </row>
    <row r="27" spans="1:23" x14ac:dyDescent="0.3">
      <c r="A27" s="83">
        <v>26</v>
      </c>
      <c r="B27" s="77">
        <v>44512</v>
      </c>
      <c r="C27" s="78" t="s">
        <v>60</v>
      </c>
      <c r="D27" s="76"/>
      <c r="E27" s="78" t="s">
        <v>39</v>
      </c>
      <c r="F27" s="76"/>
      <c r="G27" s="84"/>
      <c r="H27" s="67"/>
      <c r="I27" s="14"/>
      <c r="J27" s="14"/>
      <c r="O27">
        <f>LOOKUP(E27,M1:M10,N1:N10)</f>
        <v>4</v>
      </c>
      <c r="P27" s="33">
        <f t="shared" si="2"/>
        <v>0</v>
      </c>
      <c r="Q27" s="34">
        <f t="shared" si="1"/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27</v>
      </c>
      <c r="B28" s="77">
        <v>44513</v>
      </c>
      <c r="C28" s="78" t="s">
        <v>42</v>
      </c>
      <c r="D28" s="76"/>
      <c r="E28" s="78" t="s">
        <v>4</v>
      </c>
      <c r="F28" s="76"/>
      <c r="G28" s="84"/>
      <c r="H28" s="67"/>
      <c r="I28" s="14"/>
      <c r="J28" s="14"/>
      <c r="P28" s="33">
        <f t="shared" si="2"/>
        <v>0</v>
      </c>
      <c r="Q28" s="34">
        <f t="shared" ref="Q28:Q61" si="3"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28</v>
      </c>
      <c r="B29" s="77">
        <v>44513</v>
      </c>
      <c r="C29" s="78" t="s">
        <v>60</v>
      </c>
      <c r="D29" s="76"/>
      <c r="E29" s="78" t="s">
        <v>59</v>
      </c>
      <c r="F29" s="76"/>
      <c r="G29" s="84"/>
      <c r="H29" s="67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29</v>
      </c>
      <c r="B30" s="77">
        <v>44513</v>
      </c>
      <c r="C30" s="78" t="s">
        <v>47</v>
      </c>
      <c r="D30" s="76"/>
      <c r="E30" s="78" t="s">
        <v>28</v>
      </c>
      <c r="F30" s="76"/>
      <c r="G30" s="84"/>
      <c r="H30" s="67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30</v>
      </c>
      <c r="B31" s="77">
        <v>44513</v>
      </c>
      <c r="C31" s="78" t="s">
        <v>3</v>
      </c>
      <c r="D31" s="76"/>
      <c r="E31" s="78" t="s">
        <v>5</v>
      </c>
      <c r="F31" s="76"/>
      <c r="G31" s="84"/>
      <c r="H31" s="67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31</v>
      </c>
      <c r="B32" s="77">
        <v>44514</v>
      </c>
      <c r="C32" s="78" t="s">
        <v>28</v>
      </c>
      <c r="D32" s="76"/>
      <c r="E32" s="78" t="s">
        <v>4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32</v>
      </c>
      <c r="B33" s="77">
        <v>44519</v>
      </c>
      <c r="C33" s="78" t="s">
        <v>47</v>
      </c>
      <c r="D33" s="76"/>
      <c r="E33" s="78" t="s">
        <v>59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33</v>
      </c>
      <c r="B34" s="77">
        <v>44519</v>
      </c>
      <c r="C34" s="78" t="s">
        <v>5</v>
      </c>
      <c r="D34" s="76"/>
      <c r="E34" s="78" t="s">
        <v>3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34</v>
      </c>
      <c r="B35" s="77">
        <v>44520</v>
      </c>
      <c r="C35" s="78" t="s">
        <v>42</v>
      </c>
      <c r="D35" s="76"/>
      <c r="E35" s="78" t="s">
        <v>28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36</v>
      </c>
      <c r="B36" s="77">
        <v>44520</v>
      </c>
      <c r="C36" s="78" t="s">
        <v>4</v>
      </c>
      <c r="D36" s="76"/>
      <c r="E36" s="78" t="s">
        <v>39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37</v>
      </c>
      <c r="B37" s="77">
        <v>44520</v>
      </c>
      <c r="C37" s="78" t="s">
        <v>47</v>
      </c>
      <c r="D37" s="76"/>
      <c r="E37" s="78" t="s">
        <v>5</v>
      </c>
      <c r="F37" s="76"/>
      <c r="G37" s="84"/>
      <c r="H37" s="67"/>
      <c r="I37" s="14"/>
      <c r="J37" s="14"/>
      <c r="P37" s="33">
        <f t="shared" si="2"/>
        <v>0</v>
      </c>
      <c r="Q37" s="34">
        <f t="shared" ref="Q37:Q48" si="4"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38</v>
      </c>
      <c r="B38" s="77">
        <v>44533</v>
      </c>
      <c r="C38" s="78" t="s">
        <v>4</v>
      </c>
      <c r="D38" s="76"/>
      <c r="E38" s="78" t="s">
        <v>3</v>
      </c>
      <c r="F38" s="76"/>
      <c r="G38" s="84"/>
      <c r="H38" s="67"/>
      <c r="I38" s="14"/>
      <c r="J38" s="14"/>
      <c r="P38" s="33">
        <f t="shared" si="2"/>
        <v>0</v>
      </c>
      <c r="Q38" s="34">
        <f t="shared" si="4"/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39</v>
      </c>
      <c r="B39" s="77">
        <v>44534</v>
      </c>
      <c r="C39" s="78" t="s">
        <v>42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2"/>
        <v>0</v>
      </c>
      <c r="Q39" s="34">
        <f t="shared" si="4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40</v>
      </c>
      <c r="B40" s="77">
        <v>44534</v>
      </c>
      <c r="C40" s="78" t="s">
        <v>47</v>
      </c>
      <c r="D40" s="76"/>
      <c r="E40" s="78" t="s">
        <v>60</v>
      </c>
      <c r="F40" s="76"/>
      <c r="G40" s="84"/>
      <c r="H40" s="67"/>
      <c r="I40" s="14"/>
      <c r="J40" s="14"/>
      <c r="P40" s="33">
        <f t="shared" si="2"/>
        <v>0</v>
      </c>
      <c r="Q40" s="34">
        <f t="shared" si="4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41</v>
      </c>
      <c r="B41" s="77">
        <v>44534</v>
      </c>
      <c r="C41" s="78" t="s">
        <v>59</v>
      </c>
      <c r="D41" s="76"/>
      <c r="E41" s="78" t="s">
        <v>28</v>
      </c>
      <c r="F41" s="76"/>
      <c r="G41" s="84"/>
      <c r="H41" s="67"/>
      <c r="I41" s="14"/>
      <c r="J41" s="14"/>
      <c r="P41" s="33">
        <f t="shared" si="2"/>
        <v>0</v>
      </c>
      <c r="Q41" s="34">
        <f t="shared" si="4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42</v>
      </c>
      <c r="B42" s="77">
        <v>44534</v>
      </c>
      <c r="C42" s="78" t="s">
        <v>4</v>
      </c>
      <c r="D42" s="76"/>
      <c r="E42" s="78" t="s">
        <v>5</v>
      </c>
      <c r="F42" s="76"/>
      <c r="G42" s="84"/>
      <c r="H42" s="67"/>
      <c r="I42" s="14"/>
      <c r="J42" s="14"/>
      <c r="P42" s="33">
        <f t="shared" si="2"/>
        <v>0</v>
      </c>
      <c r="Q42" s="34">
        <f t="shared" si="4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43</v>
      </c>
      <c r="B43" s="77">
        <v>44540</v>
      </c>
      <c r="C43" s="78" t="s">
        <v>5</v>
      </c>
      <c r="D43" s="76"/>
      <c r="E43" s="78" t="s">
        <v>47</v>
      </c>
      <c r="F43" s="76"/>
      <c r="G43" s="84"/>
      <c r="H43" s="67"/>
      <c r="I43" s="14"/>
      <c r="J43" s="14"/>
      <c r="P43" s="33">
        <f t="shared" si="2"/>
        <v>0</v>
      </c>
      <c r="Q43" s="34">
        <f t="shared" si="4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35</v>
      </c>
      <c r="B44" s="77">
        <v>44541</v>
      </c>
      <c r="C44" s="78" t="s">
        <v>3</v>
      </c>
      <c r="D44" s="76"/>
      <c r="E44" s="78" t="s">
        <v>60</v>
      </c>
      <c r="F44" s="76"/>
      <c r="G44" s="84"/>
      <c r="H44" s="67"/>
      <c r="I44" s="14"/>
      <c r="J44" s="14"/>
      <c r="P44" s="33">
        <f t="shared" si="2"/>
        <v>0</v>
      </c>
      <c r="Q44" s="34">
        <f t="shared" si="4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44</v>
      </c>
      <c r="B45" s="77">
        <v>44541</v>
      </c>
      <c r="C45" s="78" t="s">
        <v>28</v>
      </c>
      <c r="D45" s="76"/>
      <c r="E45" s="78" t="s">
        <v>47</v>
      </c>
      <c r="F45" s="76"/>
      <c r="G45" s="84"/>
      <c r="H45" s="67"/>
      <c r="I45" s="14"/>
      <c r="J45" s="14"/>
      <c r="P45" s="33">
        <f t="shared" si="2"/>
        <v>0</v>
      </c>
      <c r="Q45" s="34">
        <f t="shared" si="4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45</v>
      </c>
      <c r="B46" s="77">
        <v>44541</v>
      </c>
      <c r="C46" s="78" t="s">
        <v>59</v>
      </c>
      <c r="D46" s="76"/>
      <c r="E46" s="78" t="s">
        <v>5</v>
      </c>
      <c r="F46" s="76"/>
      <c r="G46" s="84"/>
      <c r="H46" s="67"/>
      <c r="I46" s="14"/>
      <c r="J46" s="14"/>
      <c r="P46" s="33">
        <f t="shared" si="2"/>
        <v>0</v>
      </c>
      <c r="Q46" s="34">
        <f t="shared" si="4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46</v>
      </c>
      <c r="B47" s="77">
        <v>44548</v>
      </c>
      <c r="C47" s="78" t="s">
        <v>3</v>
      </c>
      <c r="D47" s="76"/>
      <c r="E47" s="78" t="s">
        <v>28</v>
      </c>
      <c r="F47" s="76"/>
      <c r="G47" s="84"/>
      <c r="H47" s="67"/>
      <c r="I47" s="14"/>
      <c r="J47" s="14"/>
      <c r="P47" s="33">
        <f t="shared" si="2"/>
        <v>0</v>
      </c>
      <c r="Q47" s="34">
        <f t="shared" si="4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47</v>
      </c>
      <c r="B48" s="77">
        <v>44576</v>
      </c>
      <c r="C48" s="78" t="s">
        <v>39</v>
      </c>
      <c r="D48" s="76"/>
      <c r="E48" s="78" t="s">
        <v>3</v>
      </c>
      <c r="F48" s="76"/>
      <c r="G48" s="84"/>
      <c r="H48" s="67"/>
      <c r="I48" s="14"/>
      <c r="J48" s="14"/>
      <c r="P48" s="33">
        <f t="shared" si="2"/>
        <v>0</v>
      </c>
      <c r="Q48" s="34">
        <f t="shared" si="4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48</v>
      </c>
      <c r="B49" s="77">
        <v>44582</v>
      </c>
      <c r="C49" s="78" t="s">
        <v>28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2"/>
        <v>0</v>
      </c>
      <c r="Q49" s="34">
        <f t="shared" si="3"/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49</v>
      </c>
      <c r="B50" s="77">
        <v>44582</v>
      </c>
      <c r="C50" s="78" t="s">
        <v>59</v>
      </c>
      <c r="D50" s="76"/>
      <c r="E50" s="78" t="s">
        <v>39</v>
      </c>
      <c r="F50" s="76"/>
      <c r="G50" s="84"/>
      <c r="H50" s="67"/>
      <c r="I50" s="14"/>
      <c r="J50" s="14"/>
      <c r="P50" s="33">
        <f t="shared" si="2"/>
        <v>0</v>
      </c>
      <c r="Q50" s="34">
        <f t="shared" si="3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50</v>
      </c>
      <c r="B51" s="77">
        <v>44583</v>
      </c>
      <c r="C51" s="78" t="s">
        <v>59</v>
      </c>
      <c r="D51" s="76"/>
      <c r="E51" s="78" t="s">
        <v>3</v>
      </c>
      <c r="F51" s="76"/>
      <c r="G51" s="84"/>
      <c r="H51" s="67"/>
      <c r="I51" s="14"/>
      <c r="J51" s="14"/>
      <c r="P51" s="33">
        <f t="shared" si="2"/>
        <v>0</v>
      </c>
      <c r="Q51" s="34">
        <f t="shared" si="3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51</v>
      </c>
      <c r="B52" s="77">
        <v>44583</v>
      </c>
      <c r="C52" s="78" t="s">
        <v>39</v>
      </c>
      <c r="D52" s="76"/>
      <c r="E52" s="78" t="s">
        <v>28</v>
      </c>
      <c r="F52" s="76"/>
      <c r="G52" s="84"/>
      <c r="H52" s="67"/>
      <c r="I52" s="14"/>
      <c r="J52" s="14"/>
      <c r="P52" s="33">
        <f t="shared" si="2"/>
        <v>0</v>
      </c>
      <c r="Q52" s="34">
        <f t="shared" si="3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52</v>
      </c>
      <c r="B53" s="77">
        <v>44589</v>
      </c>
      <c r="C53" s="78" t="s">
        <v>47</v>
      </c>
      <c r="D53" s="76"/>
      <c r="E53" s="78" t="s">
        <v>3</v>
      </c>
      <c r="F53" s="76"/>
      <c r="G53" s="84"/>
      <c r="H53" s="67"/>
      <c r="I53" s="14"/>
      <c r="J53" s="14"/>
      <c r="P53" s="33">
        <f t="shared" si="2"/>
        <v>0</v>
      </c>
      <c r="Q53" s="34">
        <f t="shared" si="3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53</v>
      </c>
      <c r="B54" s="77">
        <v>44589</v>
      </c>
      <c r="C54" s="78" t="s">
        <v>5</v>
      </c>
      <c r="D54" s="76"/>
      <c r="E54" s="78" t="s">
        <v>39</v>
      </c>
      <c r="F54" s="76"/>
      <c r="G54" s="84"/>
      <c r="H54" s="67"/>
      <c r="I54" s="14"/>
      <c r="J54" s="14"/>
      <c r="P54" s="33">
        <f t="shared" si="2"/>
        <v>0</v>
      </c>
      <c r="Q54" s="34">
        <f t="shared" si="3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54</v>
      </c>
      <c r="B55" s="77">
        <v>44590</v>
      </c>
      <c r="C55" s="78" t="s">
        <v>60</v>
      </c>
      <c r="D55" s="76"/>
      <c r="E55" s="78" t="s">
        <v>3</v>
      </c>
      <c r="F55" s="76"/>
      <c r="G55" s="84"/>
      <c r="H55" s="67"/>
      <c r="I55" s="14"/>
      <c r="J55" s="14"/>
      <c r="P55" s="33">
        <f t="shared" si="2"/>
        <v>0</v>
      </c>
      <c r="Q55" s="34">
        <f t="shared" si="3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55</v>
      </c>
      <c r="B56" s="77">
        <v>44590</v>
      </c>
      <c r="C56" s="78" t="s">
        <v>59</v>
      </c>
      <c r="D56" s="76"/>
      <c r="E56" s="78" t="s">
        <v>4</v>
      </c>
      <c r="F56" s="76"/>
      <c r="G56" s="84"/>
      <c r="H56" s="67"/>
      <c r="I56" s="14"/>
      <c r="J56" s="14"/>
      <c r="P56" s="33">
        <f t="shared" si="2"/>
        <v>0</v>
      </c>
      <c r="Q56" s="34">
        <f t="shared" si="3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56</v>
      </c>
      <c r="B57" s="77">
        <v>44590</v>
      </c>
      <c r="C57" s="78" t="s">
        <v>39</v>
      </c>
      <c r="D57" s="76"/>
      <c r="E57" s="78" t="s">
        <v>5</v>
      </c>
      <c r="F57" s="76"/>
      <c r="G57" s="84"/>
      <c r="H57" s="67"/>
      <c r="I57" s="14"/>
      <c r="J57" s="14"/>
      <c r="P57" s="33">
        <f t="shared" si="2"/>
        <v>0</v>
      </c>
      <c r="Q57" s="34">
        <f t="shared" si="3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57</v>
      </c>
      <c r="B58" s="77">
        <v>44591</v>
      </c>
      <c r="C58" s="78" t="s">
        <v>42</v>
      </c>
      <c r="D58" s="76"/>
      <c r="E58" s="78" t="s">
        <v>47</v>
      </c>
      <c r="F58" s="76"/>
      <c r="G58" s="84"/>
      <c r="H58" s="67"/>
      <c r="I58" s="14"/>
      <c r="J58" s="14"/>
      <c r="P58" s="33">
        <f t="shared" si="2"/>
        <v>0</v>
      </c>
      <c r="Q58" s="34">
        <f t="shared" si="3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58</v>
      </c>
      <c r="B59" s="77">
        <v>44596</v>
      </c>
      <c r="C59" s="78" t="s">
        <v>3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2"/>
        <v>0</v>
      </c>
      <c r="Q59" s="34">
        <f t="shared" si="3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59</v>
      </c>
      <c r="B60" s="77">
        <v>44596</v>
      </c>
      <c r="C60" s="78" t="s">
        <v>28</v>
      </c>
      <c r="D60" s="76"/>
      <c r="E60" s="78" t="s">
        <v>59</v>
      </c>
      <c r="F60" s="76"/>
      <c r="G60" s="84"/>
      <c r="H60" s="67"/>
      <c r="I60" s="14"/>
      <c r="J60" s="14"/>
      <c r="P60" s="33">
        <f t="shared" si="2"/>
        <v>0</v>
      </c>
      <c r="Q60" s="34">
        <f t="shared" si="3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63</v>
      </c>
      <c r="B61" s="77">
        <v>44596</v>
      </c>
      <c r="C61" s="78" t="s">
        <v>4</v>
      </c>
      <c r="D61" s="76"/>
      <c r="E61" s="78" t="s">
        <v>60</v>
      </c>
      <c r="F61" s="76"/>
      <c r="G61" s="84"/>
      <c r="H61" s="67"/>
      <c r="I61" s="14"/>
      <c r="J61" s="14"/>
      <c r="P61" s="33">
        <f t="shared" si="2"/>
        <v>0</v>
      </c>
      <c r="Q61" s="34">
        <f t="shared" si="3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60</v>
      </c>
      <c r="B62" s="77">
        <v>44597</v>
      </c>
      <c r="C62" s="78" t="s">
        <v>39</v>
      </c>
      <c r="D62" s="76"/>
      <c r="E62" s="78" t="s">
        <v>47</v>
      </c>
      <c r="F62" s="76"/>
      <c r="G62" s="84"/>
      <c r="H62" s="67"/>
      <c r="I62" s="14"/>
      <c r="J62" s="14"/>
      <c r="P62" s="33">
        <f t="shared" si="2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61</v>
      </c>
      <c r="B63" s="77">
        <v>44597</v>
      </c>
      <c r="C63" s="78" t="s">
        <v>3</v>
      </c>
      <c r="D63" s="76"/>
      <c r="E63" s="78" t="s">
        <v>59</v>
      </c>
      <c r="F63" s="76"/>
      <c r="G63" s="84"/>
      <c r="H63" s="67"/>
      <c r="I63" s="14"/>
      <c r="J63" s="14"/>
      <c r="P63" s="33">
        <f t="shared" si="2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62</v>
      </c>
      <c r="B64" s="77">
        <v>44597</v>
      </c>
      <c r="C64" s="78" t="s">
        <v>28</v>
      </c>
      <c r="D64" s="76"/>
      <c r="E64" s="78" t="s">
        <v>42</v>
      </c>
      <c r="F64" s="76"/>
      <c r="G64" s="84"/>
      <c r="H64" s="67"/>
      <c r="I64" s="14"/>
      <c r="J64" s="14"/>
      <c r="P64" s="33">
        <f t="shared" si="2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64</v>
      </c>
      <c r="B65" s="77">
        <v>44597</v>
      </c>
      <c r="C65" s="78" t="s">
        <v>60</v>
      </c>
      <c r="D65" s="76"/>
      <c r="E65" s="78" t="s">
        <v>5</v>
      </c>
      <c r="F65" s="76"/>
      <c r="G65" s="84"/>
      <c r="H65" s="67"/>
      <c r="I65" s="14"/>
      <c r="J65" s="14"/>
      <c r="P65" s="33">
        <f t="shared" si="2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65</v>
      </c>
      <c r="B66" s="77">
        <v>44598</v>
      </c>
      <c r="C66" s="78" t="s">
        <v>39</v>
      </c>
      <c r="D66" s="76"/>
      <c r="E66" s="78" t="s">
        <v>42</v>
      </c>
      <c r="F66" s="76"/>
      <c r="G66" s="84"/>
      <c r="H66" s="67"/>
      <c r="I66" s="14"/>
      <c r="J66" s="14"/>
      <c r="P66" s="33">
        <f t="shared" si="2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2</v>
      </c>
      <c r="B67" s="77">
        <v>44602</v>
      </c>
      <c r="C67" s="78" t="s">
        <v>28</v>
      </c>
      <c r="D67" s="76"/>
      <c r="E67" s="78" t="s">
        <v>5</v>
      </c>
      <c r="F67" s="76"/>
      <c r="G67" s="84"/>
      <c r="H67" s="67"/>
      <c r="I67" s="14"/>
      <c r="J67" s="14"/>
      <c r="P67" s="33">
        <f t="shared" si="2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2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2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2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2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2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2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2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153</v>
      </c>
    </row>
    <row r="113" spans="4:6" x14ac:dyDescent="0.3">
      <c r="D113" s="1">
        <f>SUM(D3:D111)</f>
        <v>80</v>
      </c>
      <c r="F113" s="1">
        <f>SUM(F3:F111)</f>
        <v>73</v>
      </c>
    </row>
  </sheetData>
  <sortState xmlns:xlrd2="http://schemas.microsoft.com/office/spreadsheetml/2017/richdata2" ref="A13:J67">
    <sortCondition ref="B13:B6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2021-11-01T16:52:52Z</dcterms:modified>
</cp:coreProperties>
</file>