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207" documentId="8_{970098D5-2AA6-4EE8-9507-3C4E4A614472}" xr6:coauthVersionLast="47" xr6:coauthVersionMax="47" xr10:uidLastSave="{A5C36339-C261-4ADB-B86D-6D0A789990FA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<sst xmlns="http://schemas.openxmlformats.org/spreadsheetml/2006/main" count="371" uniqueCount="86">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</sst>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6" fillId="2" borderId="11" xfId="0" applyNumberFormat="1" applyFont="1" applyFill="1" applyBorder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" fontId="26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4" fillId="2" borderId="17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center" vertical="center"/>
    </xf>
    <xf numFmtId="14" fontId="25" fillId="2" borderId="31" xfId="0" applyNumberFormat="1" applyFont="1" applyFill="1" applyBorder="1" applyAlignment="1">
      <alignment horizontal="right" vertical="center"/>
    </xf>
    <xf numFmtId="14" fontId="25" fillId="2" borderId="6" xfId="0" applyNumberFormat="1" applyFont="1" applyFill="1" applyBorder="1" applyAlignment="1">
      <alignment horizontal="right" vertical="center"/>
    </xf>
    <xf numFmtId="14" fontId="25" fillId="2" borderId="6" xfId="0" applyNumberFormat="1" applyFont="1" applyFill="1" applyBorder="1" applyAlignment="1">
      <alignment horizontal="left" vertical="center"/>
    </xf>
    <xf numFmtId="14" fontId="25" fillId="2" borderId="23" xfId="0" applyNumberFormat="1" applyFont="1" applyFill="1" applyBorder="1" applyAlignment="1">
      <alignment horizontal="left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9</v>
      </c>
      <c r="E4" s="52">
        <v>9</v>
      </c>
      <c r="F4" s="52">
        <v>0</v>
      </c>
      <c r="G4" s="52">
        <v>0</v>
      </c>
      <c r="H4" s="96">
        <v>18</v>
      </c>
      <c r="I4" s="52">
        <v>69</v>
      </c>
      <c r="J4" s="53">
        <v>22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12</v>
      </c>
      <c r="E5" s="46">
        <v>8</v>
      </c>
      <c r="F5" s="46">
        <v>2</v>
      </c>
      <c r="G5" s="46">
        <v>2</v>
      </c>
      <c r="H5" s="97">
        <v>18</v>
      </c>
      <c r="I5" s="46">
        <v>53</v>
      </c>
      <c r="J5" s="47">
        <v>34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30</v>
      </c>
      <c r="D6" s="55">
        <v>11</v>
      </c>
      <c r="E6" s="48">
        <v>7</v>
      </c>
      <c r="F6" s="48">
        <v>4</v>
      </c>
      <c r="G6" s="48">
        <v>0</v>
      </c>
      <c r="H6" s="98">
        <v>14</v>
      </c>
      <c r="I6" s="48">
        <v>63</v>
      </c>
      <c r="J6" s="49">
        <v>42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5</v>
      </c>
      <c r="D7" s="56">
        <v>9</v>
      </c>
      <c r="E7" s="50">
        <v>6</v>
      </c>
      <c r="F7" s="50">
        <v>3</v>
      </c>
      <c r="G7" s="50">
        <v>0</v>
      </c>
      <c r="H7" s="99">
        <v>12</v>
      </c>
      <c r="I7" s="50">
        <v>57</v>
      </c>
      <c r="J7" s="51">
        <v>37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60</v>
      </c>
      <c r="D8" s="57">
        <v>10</v>
      </c>
      <c r="E8" s="52">
        <v>3</v>
      </c>
      <c r="F8" s="52">
        <v>5</v>
      </c>
      <c r="G8" s="52">
        <v>2</v>
      </c>
      <c r="H8" s="96">
        <v>8</v>
      </c>
      <c r="I8" s="52">
        <v>40</v>
      </c>
      <c r="J8" s="53">
        <v>56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39</v>
      </c>
      <c r="D9" s="54">
        <v>7</v>
      </c>
      <c r="E9" s="46">
        <v>3</v>
      </c>
      <c r="F9" s="46">
        <v>3</v>
      </c>
      <c r="G9" s="46">
        <v>1</v>
      </c>
      <c r="H9" s="97">
        <v>7</v>
      </c>
      <c r="I9" s="46">
        <v>31</v>
      </c>
      <c r="J9" s="47">
        <v>39</v>
      </c>
      <c r="K9" s="105"/>
    </row>
    <row r="10" spans="1:16" ht="18" customHeight="1" x14ac:dyDescent="0.3">
      <c r="A10" s="105"/>
      <c r="B10" s="64">
        <v>7</v>
      </c>
      <c r="C10" s="59" t="s">
        <v>47</v>
      </c>
      <c r="D10" s="54">
        <v>10</v>
      </c>
      <c r="E10" s="46">
        <v>2</v>
      </c>
      <c r="F10" s="46">
        <v>7</v>
      </c>
      <c r="G10" s="46">
        <v>1</v>
      </c>
      <c r="H10" s="97">
        <v>5</v>
      </c>
      <c r="I10" s="46">
        <v>26</v>
      </c>
      <c r="J10" s="47">
        <v>47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28</v>
      </c>
      <c r="D11" s="54">
        <v>7</v>
      </c>
      <c r="E11" s="46">
        <v>2</v>
      </c>
      <c r="F11" s="46">
        <v>5</v>
      </c>
      <c r="G11" s="46">
        <v>0</v>
      </c>
      <c r="H11" s="97">
        <v>4</v>
      </c>
      <c r="I11" s="46">
        <v>22</v>
      </c>
      <c r="J11" s="47">
        <v>54</v>
      </c>
      <c r="K11" s="105"/>
    </row>
    <row r="12" spans="1:16" ht="16.8" thickTop="1" thickBot="1" x14ac:dyDescent="0.35">
      <c r="A12" s="105"/>
      <c r="B12" s="65">
        <v>9</v>
      </c>
      <c r="C12" s="59" t="s">
        <v>3</v>
      </c>
      <c r="D12" s="55">
        <v>5</v>
      </c>
      <c r="E12" s="48">
        <v>0</v>
      </c>
      <c r="F12" s="48">
        <v>5</v>
      </c>
      <c r="G12" s="48">
        <v>0</v>
      </c>
      <c r="H12" s="98">
        <v>0</v>
      </c>
      <c r="I12" s="48">
        <v>10</v>
      </c>
      <c r="J12" s="49">
        <v>40</v>
      </c>
      <c r="K12" s="105"/>
      <c r="M12" s="102" t="s">
        <v>24</v>
      </c>
      <c r="N12" s="102"/>
      <c r="O12" s="102"/>
      <c r="P12" s="5">
        <v>42</v>
      </c>
    </row>
    <row r="13" spans="1:16" ht="16.2" thickTop="1" x14ac:dyDescent="0.3">
      <c r="A13" s="61"/>
      <c r="B13" s="109" t="s">
        <v>73</v>
      </c>
      <c r="C13" s="110"/>
      <c r="D13" s="110"/>
      <c r="E13" s="110"/>
      <c r="F13" s="110"/>
      <c r="G13" s="111" cm="1">
        <f t="array" aca="1" ref="G13" ca="1">LastModified()</f>
        <v>44535.704305555555</v>
      </c>
      <c r="H13" s="111"/>
      <c r="I13" s="111"/>
      <c r="J13" s="112"/>
      <c r="K13" s="61"/>
      <c r="M13" s="95"/>
      <c r="N13" s="95"/>
      <c r="O13" s="95"/>
      <c r="P13" s="24"/>
    </row>
    <row r="14" spans="1:16" ht="31.8" customHeight="1" thickBot="1" x14ac:dyDescent="0.35">
      <c r="B14" s="106" t="s">
        <v>84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371</v>
      </c>
      <c r="J15" s="7">
        <f>SUM(J4:J12)</f>
        <v>371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S11" sqref="S11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40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11</v>
      </c>
      <c r="U3" s="28">
        <f>IF($T$2&gt;0, T3/$T$2, 0)</f>
        <v>0.27500000000000002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7</v>
      </c>
      <c r="U4" s="28">
        <f>IF($T$2&gt;0, T4/$T$2, 0)</f>
        <v>0.17499999999999999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8</v>
      </c>
      <c r="U5" s="28">
        <f>IF($T$2&gt;0, T5/$T$2, 0)</f>
        <v>0.2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64</v>
      </c>
      <c r="H6" s="67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4</v>
      </c>
      <c r="U6" s="28">
        <f>IF($T$2&gt;0, T6/$T$2, 0)</f>
        <v>0.1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10</v>
      </c>
      <c r="U7" s="31">
        <f>IF($T$2&gt;0, T7/$T$2, 0)</f>
        <v>0.25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70</v>
      </c>
      <c r="H10" s="67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70</v>
      </c>
      <c r="H14" s="67" t="s">
        <v>74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15</v>
      </c>
      <c r="B15" s="77">
        <v>44493</v>
      </c>
      <c r="C15" s="78" t="s">
        <v>60</v>
      </c>
      <c r="D15" s="76">
        <v>5</v>
      </c>
      <c r="E15" s="78" t="s">
        <v>4</v>
      </c>
      <c r="F15" s="76">
        <v>4</v>
      </c>
      <c r="G15" s="84" t="s">
        <v>64</v>
      </c>
      <c r="H15" s="67" t="s">
        <v>75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17</v>
      </c>
      <c r="B16" s="77">
        <v>44498</v>
      </c>
      <c r="C16" s="78" t="s">
        <v>47</v>
      </c>
      <c r="D16" s="76">
        <v>3</v>
      </c>
      <c r="E16" s="78" t="s">
        <v>42</v>
      </c>
      <c r="F16" s="76">
        <v>1</v>
      </c>
      <c r="G16" s="84"/>
      <c r="H16" s="67" t="s">
        <v>76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83">
        <v>18</v>
      </c>
      <c r="B17" s="77">
        <v>44498</v>
      </c>
      <c r="C17" s="78" t="s">
        <v>5</v>
      </c>
      <c r="D17" s="76">
        <v>6</v>
      </c>
      <c r="E17" s="78" t="s">
        <v>4</v>
      </c>
      <c r="F17" s="76">
        <v>7</v>
      </c>
      <c r="G17" s="84"/>
      <c r="H17" s="67" t="s">
        <v>77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83">
        <v>19</v>
      </c>
      <c r="B18" s="77">
        <v>44499</v>
      </c>
      <c r="C18" s="78" t="s">
        <v>4</v>
      </c>
      <c r="D18" s="76">
        <v>1</v>
      </c>
      <c r="E18" s="78" t="s">
        <v>59</v>
      </c>
      <c r="F18" s="76">
        <v>5</v>
      </c>
      <c r="G18" s="84"/>
      <c r="H18" s="67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83">
        <v>20</v>
      </c>
      <c r="B19" s="77">
        <v>44505</v>
      </c>
      <c r="C19" s="78" t="s">
        <v>60</v>
      </c>
      <c r="D19" s="76">
        <v>4</v>
      </c>
      <c r="E19" s="78" t="s">
        <v>42</v>
      </c>
      <c r="F19" s="76">
        <v>7</v>
      </c>
      <c r="G19" s="84"/>
      <c r="H19" s="67" t="s">
        <v>78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83">
        <v>21</v>
      </c>
      <c r="B20" s="77">
        <v>44506</v>
      </c>
      <c r="C20" s="78" t="s">
        <v>47</v>
      </c>
      <c r="D20" s="76">
        <v>3</v>
      </c>
      <c r="E20" s="78" t="s">
        <v>4</v>
      </c>
      <c r="F20" s="76">
        <v>6</v>
      </c>
      <c r="G20" s="84"/>
      <c r="H20" s="67" t="s">
        <v>77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83">
        <v>22</v>
      </c>
      <c r="B21" s="77">
        <v>44506</v>
      </c>
      <c r="C21" s="78" t="s">
        <v>39</v>
      </c>
      <c r="D21" s="76">
        <v>5</v>
      </c>
      <c r="E21" s="78" t="s">
        <v>60</v>
      </c>
      <c r="F21" s="76">
        <v>3</v>
      </c>
      <c r="G21" s="84"/>
      <c r="H21" s="67" t="s">
        <v>79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83">
        <v>23</v>
      </c>
      <c r="B22" s="77">
        <v>44506</v>
      </c>
      <c r="C22" s="78" t="s">
        <v>42</v>
      </c>
      <c r="D22" s="76">
        <v>6</v>
      </c>
      <c r="E22" s="78" t="s">
        <v>5</v>
      </c>
      <c r="F22" s="76">
        <v>4</v>
      </c>
      <c r="G22" s="84"/>
      <c r="H22" s="67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83">
        <v>3</v>
      </c>
      <c r="B23" s="77">
        <v>44508</v>
      </c>
      <c r="C23" s="78" t="s">
        <v>39</v>
      </c>
      <c r="D23" s="76">
        <v>3</v>
      </c>
      <c r="E23" s="78" t="s">
        <v>4</v>
      </c>
      <c r="F23" s="76">
        <v>7</v>
      </c>
      <c r="G23" s="84"/>
      <c r="H23" s="67" t="s">
        <v>77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83">
        <v>24</v>
      </c>
      <c r="B24" s="77">
        <v>44512</v>
      </c>
      <c r="C24" s="78" t="s">
        <v>59</v>
      </c>
      <c r="D24" s="76">
        <v>6</v>
      </c>
      <c r="E24" s="78" t="s">
        <v>47</v>
      </c>
      <c r="F24" s="76">
        <v>3</v>
      </c>
      <c r="G24" s="84"/>
      <c r="H24" s="67" t="s">
        <v>65</v>
      </c>
      <c r="I24" s="14">
        <v>5</v>
      </c>
      <c r="J24" s="14">
        <v>9</v>
      </c>
      <c r="P24" s="33">
        <f t="shared" si="2"/>
        <v>3</v>
      </c>
      <c r="Q24" s="34">
        <f t="shared" si="3"/>
        <v>3</v>
      </c>
      <c r="R24" s="24"/>
      <c r="S24" s="24"/>
      <c r="T24" s="24"/>
      <c r="U24" s="24"/>
      <c r="V24" s="24"/>
      <c r="W24" s="24"/>
    </row>
    <row r="25" spans="1:23" x14ac:dyDescent="0.3">
      <c r="A25" s="83">
        <v>25</v>
      </c>
      <c r="B25" s="77">
        <v>44512</v>
      </c>
      <c r="C25" s="78" t="s">
        <v>3</v>
      </c>
      <c r="D25" s="76">
        <v>0</v>
      </c>
      <c r="E25" s="78" t="s">
        <v>42</v>
      </c>
      <c r="F25" s="76">
        <v>10</v>
      </c>
      <c r="G25" s="84"/>
      <c r="H25" s="67" t="s">
        <v>78</v>
      </c>
      <c r="I25" s="14">
        <v>3</v>
      </c>
      <c r="J25" s="14">
        <v>6</v>
      </c>
      <c r="N25">
        <f>LOOKUP(C26,M1:M9,N1:N9)</f>
        <v>2</v>
      </c>
      <c r="P25" s="33">
        <f t="shared" si="2"/>
        <v>-10</v>
      </c>
      <c r="Q25" s="34">
        <f t="shared" si="3"/>
        <v>10</v>
      </c>
      <c r="R25" s="24"/>
      <c r="S25" s="24"/>
      <c r="T25" s="24"/>
      <c r="U25" s="24"/>
    </row>
    <row r="26" spans="1:23" x14ac:dyDescent="0.3">
      <c r="A26" s="83">
        <v>26</v>
      </c>
      <c r="B26" s="77">
        <v>44512</v>
      </c>
      <c r="C26" s="78" t="s">
        <v>60</v>
      </c>
      <c r="D26" s="76">
        <v>4</v>
      </c>
      <c r="E26" s="78" t="s">
        <v>39</v>
      </c>
      <c r="F26" s="76">
        <v>5</v>
      </c>
      <c r="G26" s="84"/>
      <c r="H26" s="67" t="s">
        <v>80</v>
      </c>
      <c r="I26" s="14">
        <v>2</v>
      </c>
      <c r="J26" s="14">
        <v>4</v>
      </c>
      <c r="O26">
        <f>LOOKUP(E26,M1:M9,N1:N9)</f>
        <v>4</v>
      </c>
      <c r="P26" s="33">
        <f t="shared" si="2"/>
        <v>-1</v>
      </c>
      <c r="Q26" s="34">
        <f t="shared" si="3"/>
        <v>1</v>
      </c>
      <c r="R26" s="24"/>
      <c r="S26" s="24"/>
      <c r="T26" s="24"/>
      <c r="U26" s="24"/>
      <c r="V26" s="24"/>
      <c r="W26" s="24"/>
    </row>
    <row r="27" spans="1:23" x14ac:dyDescent="0.3">
      <c r="A27" s="83">
        <v>27</v>
      </c>
      <c r="B27" s="77">
        <v>44513</v>
      </c>
      <c r="C27" s="78" t="s">
        <v>42</v>
      </c>
      <c r="D27" s="76">
        <v>2</v>
      </c>
      <c r="E27" s="78" t="s">
        <v>4</v>
      </c>
      <c r="F27" s="76">
        <v>1</v>
      </c>
      <c r="G27" s="84" t="s">
        <v>70</v>
      </c>
      <c r="H27" s="67" t="s">
        <v>81</v>
      </c>
      <c r="I27" s="14">
        <v>6</v>
      </c>
      <c r="J27" s="14">
        <v>7</v>
      </c>
      <c r="P27" s="33">
        <f t="shared" si="2"/>
        <v>1</v>
      </c>
      <c r="Q27" s="34">
        <f t="shared" si="3"/>
        <v>1</v>
      </c>
      <c r="R27" s="24"/>
      <c r="S27" s="24"/>
      <c r="T27" s="24"/>
      <c r="U27" s="24"/>
      <c r="V27" s="24"/>
      <c r="W27" s="24"/>
    </row>
    <row r="28" spans="1:23" x14ac:dyDescent="0.3">
      <c r="A28" s="83">
        <v>28</v>
      </c>
      <c r="B28" s="77">
        <v>44513</v>
      </c>
      <c r="C28" s="78" t="s">
        <v>60</v>
      </c>
      <c r="D28" s="76">
        <v>2</v>
      </c>
      <c r="E28" s="78" t="s">
        <v>59</v>
      </c>
      <c r="F28" s="76">
        <v>10</v>
      </c>
      <c r="G28" s="84"/>
      <c r="H28" s="67" t="s">
        <v>63</v>
      </c>
      <c r="I28" s="14">
        <v>2</v>
      </c>
      <c r="J28" s="14">
        <v>5</v>
      </c>
      <c r="P28" s="33">
        <f t="shared" si="2"/>
        <v>-8</v>
      </c>
      <c r="Q28" s="34">
        <f t="shared" si="3"/>
        <v>8</v>
      </c>
      <c r="R28" s="24"/>
      <c r="S28" s="24"/>
      <c r="T28" s="24"/>
      <c r="U28" s="24"/>
      <c r="V28" s="24"/>
      <c r="W28" s="24"/>
    </row>
    <row r="29" spans="1:23" x14ac:dyDescent="0.3">
      <c r="A29" s="83">
        <v>29</v>
      </c>
      <c r="B29" s="77">
        <v>44513</v>
      </c>
      <c r="C29" s="78" t="s">
        <v>47</v>
      </c>
      <c r="D29" s="76">
        <v>3</v>
      </c>
      <c r="E29" s="78" t="s">
        <v>28</v>
      </c>
      <c r="F29" s="76">
        <v>4</v>
      </c>
      <c r="G29" s="84"/>
      <c r="H29" s="67" t="s">
        <v>82</v>
      </c>
      <c r="I29" s="14">
        <v>9</v>
      </c>
      <c r="J29" s="14">
        <v>8</v>
      </c>
      <c r="P29" s="33">
        <f t="shared" si="2"/>
        <v>-1</v>
      </c>
      <c r="Q29" s="34">
        <f t="shared" si="3"/>
        <v>1</v>
      </c>
      <c r="R29" s="24"/>
      <c r="S29" s="24"/>
      <c r="T29" s="24"/>
      <c r="U29" s="24"/>
      <c r="V29" s="24"/>
      <c r="W29" s="24"/>
    </row>
    <row r="30" spans="1:23" x14ac:dyDescent="0.3">
      <c r="A30" s="83">
        <v>30</v>
      </c>
      <c r="B30" s="77">
        <v>44513</v>
      </c>
      <c r="C30" s="78" t="s">
        <v>3</v>
      </c>
      <c r="D30" s="76">
        <v>1</v>
      </c>
      <c r="E30" s="78" t="s">
        <v>5</v>
      </c>
      <c r="F30" s="76">
        <v>11</v>
      </c>
      <c r="G30" s="84"/>
      <c r="H30" s="67" t="s">
        <v>83</v>
      </c>
      <c r="I30" s="14">
        <v>3</v>
      </c>
      <c r="J30" s="14">
        <v>1</v>
      </c>
      <c r="P30" s="33">
        <f t="shared" si="2"/>
        <v>-10</v>
      </c>
      <c r="Q30" s="34">
        <f t="shared" si="3"/>
        <v>10</v>
      </c>
      <c r="R30" s="24"/>
      <c r="S30" s="24"/>
      <c r="T30" s="24"/>
      <c r="U30" s="24"/>
      <c r="V30" s="24"/>
      <c r="W30" s="24"/>
    </row>
    <row r="31" spans="1:23" x14ac:dyDescent="0.3">
      <c r="A31" s="83">
        <v>31</v>
      </c>
      <c r="B31" s="77">
        <v>44514</v>
      </c>
      <c r="C31" s="78" t="s">
        <v>28</v>
      </c>
      <c r="D31" s="76">
        <v>1</v>
      </c>
      <c r="E31" s="78" t="s">
        <v>4</v>
      </c>
      <c r="F31" s="76">
        <v>8</v>
      </c>
      <c r="G31" s="84"/>
      <c r="H31" s="67" t="s">
        <v>77</v>
      </c>
      <c r="I31" s="14">
        <v>8</v>
      </c>
      <c r="J31" s="14">
        <v>7</v>
      </c>
      <c r="P31" s="33">
        <f t="shared" si="2"/>
        <v>-7</v>
      </c>
      <c r="Q31" s="34">
        <f t="shared" si="3"/>
        <v>7</v>
      </c>
      <c r="R31" s="24"/>
      <c r="S31" s="24"/>
      <c r="T31" s="24"/>
      <c r="U31" s="24"/>
      <c r="V31" s="24"/>
      <c r="W31" s="24"/>
    </row>
    <row r="32" spans="1:23" x14ac:dyDescent="0.3">
      <c r="A32" s="83">
        <v>32</v>
      </c>
      <c r="B32" s="77">
        <v>44519</v>
      </c>
      <c r="C32" s="78" t="s">
        <v>47</v>
      </c>
      <c r="D32" s="76">
        <v>1</v>
      </c>
      <c r="E32" s="78" t="s">
        <v>59</v>
      </c>
      <c r="F32" s="76">
        <v>9</v>
      </c>
      <c r="G32" s="84"/>
      <c r="H32" s="67" t="s">
        <v>63</v>
      </c>
      <c r="I32" s="14">
        <v>9</v>
      </c>
      <c r="J32" s="14">
        <v>5</v>
      </c>
      <c r="P32" s="33">
        <f t="shared" si="2"/>
        <v>-8</v>
      </c>
      <c r="Q32" s="34">
        <f t="shared" si="3"/>
        <v>8</v>
      </c>
      <c r="R32" s="24"/>
      <c r="S32" s="24"/>
      <c r="T32" s="24"/>
      <c r="U32" s="24"/>
      <c r="V32" s="24"/>
      <c r="W32" s="24"/>
    </row>
    <row r="33" spans="1:23" x14ac:dyDescent="0.3">
      <c r="A33" s="83">
        <v>33</v>
      </c>
      <c r="B33" s="77">
        <v>44519</v>
      </c>
      <c r="C33" s="78" t="s">
        <v>5</v>
      </c>
      <c r="D33" s="76">
        <v>6</v>
      </c>
      <c r="E33" s="78" t="s">
        <v>3</v>
      </c>
      <c r="F33" s="76">
        <v>3</v>
      </c>
      <c r="G33" s="84"/>
      <c r="H33" s="67" t="s">
        <v>66</v>
      </c>
      <c r="I33" s="14">
        <v>1</v>
      </c>
      <c r="J33" s="14">
        <v>3</v>
      </c>
      <c r="P33" s="33">
        <f t="shared" si="2"/>
        <v>3</v>
      </c>
      <c r="Q33" s="34">
        <f t="shared" si="3"/>
        <v>3</v>
      </c>
      <c r="R33" s="24"/>
      <c r="S33" s="24"/>
      <c r="T33" s="24"/>
      <c r="U33" s="24"/>
      <c r="V33" s="24"/>
      <c r="W33" s="24"/>
    </row>
    <row r="34" spans="1:23" x14ac:dyDescent="0.3">
      <c r="A34" s="83">
        <v>34</v>
      </c>
      <c r="B34" s="77">
        <v>44520</v>
      </c>
      <c r="C34" s="78" t="s">
        <v>42</v>
      </c>
      <c r="D34" s="76">
        <v>12</v>
      </c>
      <c r="E34" s="78" t="s">
        <v>28</v>
      </c>
      <c r="F34" s="76">
        <v>3</v>
      </c>
      <c r="G34" s="84"/>
      <c r="H34" s="67" t="s">
        <v>69</v>
      </c>
      <c r="I34" s="14">
        <v>6</v>
      </c>
      <c r="J34" s="14">
        <v>8</v>
      </c>
      <c r="P34" s="33">
        <f t="shared" si="2"/>
        <v>9</v>
      </c>
      <c r="Q34" s="34">
        <f t="shared" si="3"/>
        <v>9</v>
      </c>
      <c r="R34" s="24"/>
      <c r="S34" s="24"/>
      <c r="T34" s="24"/>
      <c r="U34" s="24"/>
      <c r="V34" s="24"/>
      <c r="W34" s="24"/>
    </row>
    <row r="35" spans="1:23" x14ac:dyDescent="0.3">
      <c r="A35" s="83">
        <v>36</v>
      </c>
      <c r="B35" s="77">
        <v>44520</v>
      </c>
      <c r="C35" s="78" t="s">
        <v>4</v>
      </c>
      <c r="D35" s="76">
        <v>3</v>
      </c>
      <c r="E35" s="78" t="s">
        <v>39</v>
      </c>
      <c r="F35" s="76">
        <v>2</v>
      </c>
      <c r="G35" s="84" t="s">
        <v>70</v>
      </c>
      <c r="H35" s="67" t="s">
        <v>67</v>
      </c>
      <c r="I35" s="14">
        <v>7</v>
      </c>
      <c r="J35" s="14">
        <v>4</v>
      </c>
      <c r="P35" s="33">
        <f t="shared" si="2"/>
        <v>1</v>
      </c>
      <c r="Q35" s="34">
        <f t="shared" si="3"/>
        <v>1</v>
      </c>
      <c r="R35" s="24"/>
      <c r="S35" s="24"/>
      <c r="T35" s="24"/>
      <c r="U35" s="24"/>
      <c r="V35" s="24"/>
      <c r="W35" s="24"/>
    </row>
    <row r="36" spans="1:23" x14ac:dyDescent="0.3">
      <c r="A36" s="83">
        <v>37</v>
      </c>
      <c r="B36" s="77">
        <v>44520</v>
      </c>
      <c r="C36" s="78" t="s">
        <v>47</v>
      </c>
      <c r="D36" s="76">
        <v>3</v>
      </c>
      <c r="E36" s="78" t="s">
        <v>5</v>
      </c>
      <c r="F36" s="76">
        <v>5</v>
      </c>
      <c r="G36" s="84"/>
      <c r="H36" s="67" t="s">
        <v>83</v>
      </c>
      <c r="I36" s="14">
        <v>9</v>
      </c>
      <c r="J36" s="14">
        <v>1</v>
      </c>
      <c r="P36" s="33">
        <f t="shared" si="2"/>
        <v>-2</v>
      </c>
      <c r="Q36" s="34">
        <f t="shared" si="3"/>
        <v>2</v>
      </c>
      <c r="R36" s="24"/>
      <c r="S36" s="24"/>
      <c r="T36" s="24"/>
      <c r="U36" s="24"/>
      <c r="V36" s="24"/>
      <c r="W36" s="24"/>
    </row>
    <row r="37" spans="1:23" x14ac:dyDescent="0.3">
      <c r="A37" s="83">
        <v>16</v>
      </c>
      <c r="B37" s="77">
        <v>44533</v>
      </c>
      <c r="C37" s="78" t="s">
        <v>47</v>
      </c>
      <c r="D37" s="76">
        <v>3</v>
      </c>
      <c r="E37" s="78" t="s">
        <v>39</v>
      </c>
      <c r="F37" s="76">
        <v>8</v>
      </c>
      <c r="G37" s="84"/>
      <c r="H37" s="67" t="s">
        <v>80</v>
      </c>
      <c r="I37" s="14">
        <v>9</v>
      </c>
      <c r="J37" s="14">
        <v>4</v>
      </c>
      <c r="P37" s="33">
        <f t="shared" si="2"/>
        <v>-5</v>
      </c>
      <c r="Q37" s="34">
        <f t="shared" si="3"/>
        <v>5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>
        <v>5</v>
      </c>
      <c r="E38" s="78" t="s">
        <v>3</v>
      </c>
      <c r="F38" s="76">
        <v>1</v>
      </c>
      <c r="G38" s="84"/>
      <c r="H38" s="67" t="s">
        <v>72</v>
      </c>
      <c r="I38" s="14">
        <v>7</v>
      </c>
      <c r="J38" s="14">
        <v>3</v>
      </c>
      <c r="P38" s="33">
        <f t="shared" ref="P38:P74" si="4">D38-F38</f>
        <v>4</v>
      </c>
      <c r="Q38" s="34">
        <f t="shared" ref="Q38:Q48" si="5">ABS(P38)</f>
        <v>4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>
        <v>8</v>
      </c>
      <c r="E39" s="78" t="s">
        <v>3</v>
      </c>
      <c r="F39" s="76">
        <v>5</v>
      </c>
      <c r="G39" s="84"/>
      <c r="H39" s="67" t="s">
        <v>69</v>
      </c>
      <c r="I39" s="14">
        <v>6</v>
      </c>
      <c r="J39" s="14">
        <v>3</v>
      </c>
      <c r="P39" s="33">
        <f t="shared" si="4"/>
        <v>3</v>
      </c>
      <c r="Q39" s="34">
        <f t="shared" si="5"/>
        <v>3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>
        <v>2</v>
      </c>
      <c r="E40" s="78" t="s">
        <v>60</v>
      </c>
      <c r="F40" s="76">
        <v>3</v>
      </c>
      <c r="G40" s="84"/>
      <c r="H40" s="67" t="s">
        <v>85</v>
      </c>
      <c r="I40" s="14">
        <v>9</v>
      </c>
      <c r="J40" s="14">
        <v>2</v>
      </c>
      <c r="P40" s="33">
        <f t="shared" si="4"/>
        <v>-1</v>
      </c>
      <c r="Q40" s="34">
        <f t="shared" si="5"/>
        <v>1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>
        <v>11</v>
      </c>
      <c r="E41" s="78" t="s">
        <v>28</v>
      </c>
      <c r="F41" s="76">
        <v>1</v>
      </c>
      <c r="G41" s="84"/>
      <c r="H41" s="67" t="s">
        <v>65</v>
      </c>
      <c r="I41" s="14">
        <v>5</v>
      </c>
      <c r="J41" s="14">
        <v>8</v>
      </c>
      <c r="P41" s="33">
        <f t="shared" si="4"/>
        <v>10</v>
      </c>
      <c r="Q41" s="34">
        <f t="shared" si="5"/>
        <v>10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>
        <v>1</v>
      </c>
      <c r="E42" s="78" t="s">
        <v>5</v>
      </c>
      <c r="F42" s="76">
        <v>4</v>
      </c>
      <c r="G42" s="84"/>
      <c r="H42" s="67" t="s">
        <v>83</v>
      </c>
      <c r="I42" s="14">
        <v>7</v>
      </c>
      <c r="J42" s="14">
        <v>1</v>
      </c>
      <c r="P42" s="33">
        <f t="shared" si="4"/>
        <v>-3</v>
      </c>
      <c r="Q42" s="34">
        <f t="shared" si="5"/>
        <v>3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371</v>
      </c>
    </row>
    <row r="113" spans="4:6" x14ac:dyDescent="0.3">
      <c r="D113" s="1">
        <f>SUM(D3:D111)</f>
        <v>175</v>
      </c>
      <c r="F113" s="1">
        <f>SUM(F3:F111)</f>
        <v>196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2021-12-05T21:54:37Z</dcterms:modified>
</cp:coreProperties>
</file>