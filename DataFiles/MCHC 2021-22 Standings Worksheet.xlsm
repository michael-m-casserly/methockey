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431" documentId="8_{970098D5-2AA6-4EE8-9507-3C4E4A614472}" xr6:coauthVersionLast="47" xr6:coauthVersionMax="47" xr10:uidLastSave="{1975D3EF-E49C-4F5E-800C-8E209C6F0815}"/>
  <bookViews>
    <workbookView xWindow="31815" yWindow="1440" windowWidth="22560" windowHeight="1383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<sst xmlns="http://schemas.openxmlformats.org/spreadsheetml/2006/main" count="374" uniqueCount="87">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</sst>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C3" sqref="C3:J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10</v>
      </c>
      <c r="E4" s="33">
        <v>10</v>
      </c>
      <c r="F4" s="33">
        <v>0</v>
      </c>
      <c r="G4" s="33">
        <v>0</v>
      </c>
      <c r="H4" s="86">
        <v>20</v>
      </c>
      <c r="I4" s="33">
        <v>78</v>
      </c>
      <c r="J4" s="87">
        <v>26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4</v>
      </c>
      <c r="D5" s="33">
        <v>12</v>
      </c>
      <c r="E5" s="33">
        <v>8</v>
      </c>
      <c r="F5" s="33">
        <v>2</v>
      </c>
      <c r="G5" s="33">
        <v>2</v>
      </c>
      <c r="H5" s="86">
        <v>18</v>
      </c>
      <c r="I5" s="33">
        <v>53</v>
      </c>
      <c r="J5" s="87">
        <v>34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5</v>
      </c>
      <c r="D6" s="33">
        <v>11</v>
      </c>
      <c r="E6" s="33">
        <v>7</v>
      </c>
      <c r="F6" s="33">
        <v>4</v>
      </c>
      <c r="G6" s="33">
        <v>0</v>
      </c>
      <c r="H6" s="86">
        <v>14</v>
      </c>
      <c r="I6" s="33">
        <v>65</v>
      </c>
      <c r="J6" s="87">
        <v>46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11</v>
      </c>
      <c r="E7" s="33">
        <v>7</v>
      </c>
      <c r="F7" s="33">
        <v>4</v>
      </c>
      <c r="G7" s="33">
        <v>0</v>
      </c>
      <c r="H7" s="86">
        <v>14</v>
      </c>
      <c r="I7" s="33">
        <v>63</v>
      </c>
      <c r="J7" s="87">
        <v>42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56</v>
      </c>
      <c r="D8" s="33">
        <v>11</v>
      </c>
      <c r="E8" s="33">
        <v>4</v>
      </c>
      <c r="F8" s="33">
        <v>5</v>
      </c>
      <c r="G8" s="33">
        <v>2</v>
      </c>
      <c r="H8" s="86">
        <v>10</v>
      </c>
      <c r="I8" s="33">
        <v>44</v>
      </c>
      <c r="J8" s="87">
        <v>59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35</v>
      </c>
      <c r="D9" s="33">
        <v>8</v>
      </c>
      <c r="E9" s="33">
        <v>3</v>
      </c>
      <c r="F9" s="33">
        <v>4</v>
      </c>
      <c r="G9" s="33">
        <v>1</v>
      </c>
      <c r="H9" s="86">
        <v>7</v>
      </c>
      <c r="I9" s="33">
        <v>31</v>
      </c>
      <c r="J9" s="87">
        <v>40</v>
      </c>
      <c r="K9" s="93"/>
    </row>
    <row r="10" spans="1:16" ht="18" customHeight="1" x14ac:dyDescent="0.3">
      <c r="A10" s="93"/>
      <c r="B10" s="81">
        <v>7</v>
      </c>
      <c r="C10" s="85" t="s">
        <v>43</v>
      </c>
      <c r="D10" s="33">
        <v>12</v>
      </c>
      <c r="E10" s="33">
        <v>3</v>
      </c>
      <c r="F10" s="33">
        <v>8</v>
      </c>
      <c r="G10" s="33">
        <v>1</v>
      </c>
      <c r="H10" s="86">
        <v>7</v>
      </c>
      <c r="I10" s="33">
        <v>32</v>
      </c>
      <c r="J10" s="87">
        <v>53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3</v>
      </c>
      <c r="D11" s="33">
        <v>8</v>
      </c>
      <c r="E11" s="33">
        <v>2</v>
      </c>
      <c r="F11" s="33">
        <v>6</v>
      </c>
      <c r="G11" s="33">
        <v>0</v>
      </c>
      <c r="H11" s="86">
        <v>4</v>
      </c>
      <c r="I11" s="33">
        <v>22</v>
      </c>
      <c r="J11" s="87">
        <v>47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9</v>
      </c>
      <c r="E12" s="33">
        <v>2</v>
      </c>
      <c r="F12" s="33">
        <v>7</v>
      </c>
      <c r="G12" s="33">
        <v>0</v>
      </c>
      <c r="H12" s="86">
        <v>4</v>
      </c>
      <c r="I12" s="33">
        <v>27</v>
      </c>
      <c r="J12" s="87">
        <v>68</v>
      </c>
      <c r="K12" s="93"/>
      <c r="M12" s="90" t="s">
        <v>20</v>
      </c>
      <c r="N12" s="90"/>
      <c r="O12" s="90"/>
      <c r="P12" s="5">
        <v>47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44578.491435185184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415</v>
      </c>
      <c r="J15" s="7">
        <f>SUM(J4:J12)</f>
        <v>415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31" zoomScaleNormal="100" workbookViewId="0">
      <selection activeCell="A48" sqref="A48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46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13</v>
      </c>
      <c r="U3" s="63">
        <f>IF($T$2&gt;0, T3/$T$2, 0)</f>
        <v>0.28260869565217389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74" si="1">ABS(P4)</f>
        <v>2</v>
      </c>
      <c r="R4" s="62">
        <v>2</v>
      </c>
      <c r="S4" s="61" t="s">
        <v>47</v>
      </c>
      <c r="T4" s="61">
        <f>COUNTIF($Q$3:$Q$74,R4)</f>
        <v>7</v>
      </c>
      <c r="U4" s="63">
        <f>IF($T$2&gt;0, T4/$T$2, 0)</f>
        <v>0.15217391304347827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8</v>
      </c>
      <c r="U5" s="63">
        <f>IF($T$2&gt;0, T5/$T$2, 0)</f>
        <v>0.17391304347826086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6</v>
      </c>
      <c r="U6" s="63">
        <f>IF($T$2&gt;0, T6/$T$2, 0)</f>
        <v>0.13043478260869565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12</v>
      </c>
      <c r="U7" s="67">
        <f>IF($T$2&gt;0, T7/$T$2, 0)</f>
        <v>0.2608695652173913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74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/>
      <c r="E49" s="52" t="s">
        <v>3</v>
      </c>
      <c r="F49" s="53"/>
      <c r="G49" s="54"/>
      <c r="H49" s="55"/>
      <c r="I49" s="56"/>
      <c r="J49" s="56"/>
      <c r="P49" s="60">
        <f t="shared" si="4"/>
        <v>0</v>
      </c>
      <c r="Q49" s="68">
        <f t="shared" ref="Q49:Q61" si="6">ABS(P49)</f>
        <v>0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/>
      <c r="E50" s="52" t="s">
        <v>35</v>
      </c>
      <c r="F50" s="53"/>
      <c r="G50" s="54"/>
      <c r="H50" s="55"/>
      <c r="I50" s="56"/>
      <c r="J50" s="56"/>
      <c r="P50" s="60">
        <f t="shared" si="4"/>
        <v>0</v>
      </c>
      <c r="Q50" s="68">
        <f t="shared" si="6"/>
        <v>0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/>
      <c r="E51" s="52" t="s">
        <v>3</v>
      </c>
      <c r="F51" s="53"/>
      <c r="G51" s="54"/>
      <c r="H51" s="55"/>
      <c r="I51" s="56"/>
      <c r="J51" s="56"/>
      <c r="P51" s="60">
        <f t="shared" si="4"/>
        <v>0</v>
      </c>
      <c r="Q51" s="68">
        <f t="shared" si="6"/>
        <v>0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/>
      <c r="E52" s="52" t="s">
        <v>24</v>
      </c>
      <c r="F52" s="53"/>
      <c r="G52" s="54"/>
      <c r="H52" s="55"/>
      <c r="I52" s="56"/>
      <c r="J52" s="56"/>
      <c r="P52" s="60">
        <f t="shared" si="4"/>
        <v>0</v>
      </c>
      <c r="Q52" s="68">
        <f t="shared" si="6"/>
        <v>0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52</v>
      </c>
      <c r="B53" s="51">
        <v>44589</v>
      </c>
      <c r="C53" s="52" t="s">
        <v>43</v>
      </c>
      <c r="D53" s="53"/>
      <c r="E53" s="52" t="s">
        <v>3</v>
      </c>
      <c r="F53" s="53"/>
      <c r="G53" s="54"/>
      <c r="H53" s="55"/>
      <c r="I53" s="56"/>
      <c r="J53" s="56"/>
      <c r="P53" s="60">
        <f t="shared" si="4"/>
        <v>0</v>
      </c>
      <c r="Q53" s="68">
        <f t="shared" si="6"/>
        <v>0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53</v>
      </c>
      <c r="B54" s="51">
        <v>44589</v>
      </c>
      <c r="C54" s="52" t="s">
        <v>5</v>
      </c>
      <c r="D54" s="53"/>
      <c r="E54" s="52" t="s">
        <v>35</v>
      </c>
      <c r="F54" s="53"/>
      <c r="G54" s="54"/>
      <c r="H54" s="55"/>
      <c r="I54" s="56"/>
      <c r="J54" s="56"/>
      <c r="P54" s="60">
        <f t="shared" si="4"/>
        <v>0</v>
      </c>
      <c r="Q54" s="68">
        <f t="shared" si="6"/>
        <v>0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54</v>
      </c>
      <c r="B55" s="51">
        <v>44590</v>
      </c>
      <c r="C55" s="52" t="s">
        <v>56</v>
      </c>
      <c r="D55" s="53"/>
      <c r="E55" s="52" t="s">
        <v>3</v>
      </c>
      <c r="F55" s="53"/>
      <c r="G55" s="54"/>
      <c r="H55" s="55"/>
      <c r="I55" s="56"/>
      <c r="J55" s="56"/>
      <c r="P55" s="60">
        <f t="shared" si="4"/>
        <v>0</v>
      </c>
      <c r="Q55" s="68">
        <f t="shared" si="6"/>
        <v>0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55</v>
      </c>
      <c r="B56" s="51">
        <v>44590</v>
      </c>
      <c r="C56" s="52" t="s">
        <v>55</v>
      </c>
      <c r="D56" s="53"/>
      <c r="E56" s="52" t="s">
        <v>4</v>
      </c>
      <c r="F56" s="53"/>
      <c r="G56" s="54"/>
      <c r="H56" s="55"/>
      <c r="I56" s="56"/>
      <c r="J56" s="56"/>
      <c r="P56" s="60">
        <f t="shared" si="4"/>
        <v>0</v>
      </c>
      <c r="Q56" s="68">
        <f t="shared" si="6"/>
        <v>0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56</v>
      </c>
      <c r="B57" s="51">
        <v>44590</v>
      </c>
      <c r="C57" s="52" t="s">
        <v>35</v>
      </c>
      <c r="D57" s="53"/>
      <c r="E57" s="52" t="s">
        <v>5</v>
      </c>
      <c r="F57" s="53"/>
      <c r="G57" s="54"/>
      <c r="H57" s="55"/>
      <c r="I57" s="56"/>
      <c r="J57" s="56"/>
      <c r="P57" s="60">
        <f t="shared" si="4"/>
        <v>0</v>
      </c>
      <c r="Q57" s="68">
        <f t="shared" si="6"/>
        <v>0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57</v>
      </c>
      <c r="B58" s="51">
        <v>44591</v>
      </c>
      <c r="C58" s="52" t="s">
        <v>38</v>
      </c>
      <c r="D58" s="53"/>
      <c r="E58" s="52" t="s">
        <v>43</v>
      </c>
      <c r="F58" s="53"/>
      <c r="G58" s="54"/>
      <c r="H58" s="55"/>
      <c r="I58" s="56"/>
      <c r="J58" s="56"/>
      <c r="P58" s="60">
        <f t="shared" si="4"/>
        <v>0</v>
      </c>
      <c r="Q58" s="68">
        <f t="shared" si="6"/>
        <v>0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58</v>
      </c>
      <c r="B59" s="51">
        <v>44596</v>
      </c>
      <c r="C59" s="52" t="s">
        <v>3</v>
      </c>
      <c r="D59" s="53"/>
      <c r="E59" s="52" t="s">
        <v>43</v>
      </c>
      <c r="F59" s="53"/>
      <c r="G59" s="54"/>
      <c r="H59" s="55"/>
      <c r="I59" s="56"/>
      <c r="J59" s="56"/>
      <c r="P59" s="60">
        <f t="shared" si="4"/>
        <v>0</v>
      </c>
      <c r="Q59" s="68">
        <f t="shared" si="6"/>
        <v>0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59</v>
      </c>
      <c r="B60" s="51">
        <v>44596</v>
      </c>
      <c r="C60" s="52" t="s">
        <v>24</v>
      </c>
      <c r="D60" s="53"/>
      <c r="E60" s="52" t="s">
        <v>55</v>
      </c>
      <c r="F60" s="53"/>
      <c r="G60" s="54"/>
      <c r="H60" s="55"/>
      <c r="I60" s="56"/>
      <c r="J60" s="56"/>
      <c r="P60" s="60">
        <f t="shared" si="4"/>
        <v>0</v>
      </c>
      <c r="Q60" s="68">
        <f t="shared" si="6"/>
        <v>0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63</v>
      </c>
      <c r="B61" s="51">
        <v>44596</v>
      </c>
      <c r="C61" s="52" t="s">
        <v>4</v>
      </c>
      <c r="D61" s="53"/>
      <c r="E61" s="52" t="s">
        <v>56</v>
      </c>
      <c r="F61" s="53"/>
      <c r="G61" s="54"/>
      <c r="H61" s="55"/>
      <c r="I61" s="56"/>
      <c r="J61" s="56"/>
      <c r="P61" s="60">
        <f t="shared" si="4"/>
        <v>0</v>
      </c>
      <c r="Q61" s="68">
        <f t="shared" si="6"/>
        <v>0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60</v>
      </c>
      <c r="B62" s="51">
        <v>44597</v>
      </c>
      <c r="C62" s="52" t="s">
        <v>35</v>
      </c>
      <c r="D62" s="53"/>
      <c r="E62" s="52" t="s">
        <v>43</v>
      </c>
      <c r="F62" s="53"/>
      <c r="G62" s="54"/>
      <c r="H62" s="55"/>
      <c r="I62" s="56"/>
      <c r="J62" s="56"/>
      <c r="P62" s="60">
        <f t="shared" si="4"/>
        <v>0</v>
      </c>
      <c r="Q62" s="68">
        <f>ABS(P62)</f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61</v>
      </c>
      <c r="B63" s="51">
        <v>44597</v>
      </c>
      <c r="C63" s="52" t="s">
        <v>3</v>
      </c>
      <c r="D63" s="53"/>
      <c r="E63" s="52" t="s">
        <v>55</v>
      </c>
      <c r="F63" s="53"/>
      <c r="G63" s="54"/>
      <c r="H63" s="55"/>
      <c r="I63" s="56"/>
      <c r="J63" s="56"/>
      <c r="P63" s="60">
        <f t="shared" si="4"/>
        <v>0</v>
      </c>
      <c r="Q63" s="68">
        <f>ABS(P63)</f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62</v>
      </c>
      <c r="B64" s="51">
        <v>44597</v>
      </c>
      <c r="C64" s="52" t="s">
        <v>24</v>
      </c>
      <c r="D64" s="53"/>
      <c r="E64" s="52" t="s">
        <v>38</v>
      </c>
      <c r="F64" s="53"/>
      <c r="G64" s="54"/>
      <c r="H64" s="55"/>
      <c r="I64" s="56"/>
      <c r="J64" s="56"/>
      <c r="P64" s="60">
        <f t="shared" si="4"/>
        <v>0</v>
      </c>
      <c r="Q64" s="68">
        <f>ABS(P64)</f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64</v>
      </c>
      <c r="B65" s="51">
        <v>44597</v>
      </c>
      <c r="C65" s="52" t="s">
        <v>56</v>
      </c>
      <c r="D65" s="53"/>
      <c r="E65" s="52" t="s">
        <v>5</v>
      </c>
      <c r="F65" s="53"/>
      <c r="G65" s="54"/>
      <c r="H65" s="55"/>
      <c r="I65" s="56"/>
      <c r="J65" s="56"/>
      <c r="P65" s="60">
        <f t="shared" si="4"/>
        <v>0</v>
      </c>
      <c r="Q65" s="68">
        <f>ABS(P65)</f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65</v>
      </c>
      <c r="B66" s="51">
        <v>44598</v>
      </c>
      <c r="C66" s="52" t="s">
        <v>35</v>
      </c>
      <c r="D66" s="53"/>
      <c r="E66" s="52" t="s">
        <v>38</v>
      </c>
      <c r="F66" s="53"/>
      <c r="G66" s="54"/>
      <c r="H66" s="55"/>
      <c r="I66" s="56"/>
      <c r="J66" s="56"/>
      <c r="P66" s="60">
        <f t="shared" si="4"/>
        <v>0</v>
      </c>
      <c r="Q66" s="68">
        <f t="shared" si="1"/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2</v>
      </c>
      <c r="B67" s="51">
        <v>44602</v>
      </c>
      <c r="C67" s="52" t="s">
        <v>24</v>
      </c>
      <c r="D67" s="53"/>
      <c r="E67" s="52" t="s">
        <v>5</v>
      </c>
      <c r="F67" s="53"/>
      <c r="G67" s="54"/>
      <c r="H67" s="55"/>
      <c r="I67" s="56"/>
      <c r="J67" s="56"/>
      <c r="P67" s="60">
        <f t="shared" si="4"/>
        <v>0</v>
      </c>
      <c r="Q67" s="68">
        <f t="shared" si="1"/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66</v>
      </c>
      <c r="B68" s="51">
        <v>44603</v>
      </c>
      <c r="C68" s="52" t="s">
        <v>3</v>
      </c>
      <c r="D68" s="53"/>
      <c r="E68" s="52" t="s">
        <v>4</v>
      </c>
      <c r="F68" s="53"/>
      <c r="G68" s="54"/>
      <c r="H68" s="55"/>
      <c r="I68" s="56"/>
      <c r="J68" s="56"/>
      <c r="P68" s="60">
        <f t="shared" si="4"/>
        <v>0</v>
      </c>
      <c r="Q68" s="68">
        <f t="shared" si="1"/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67</v>
      </c>
      <c r="B69" s="51">
        <v>44603</v>
      </c>
      <c r="C69" s="52" t="s">
        <v>38</v>
      </c>
      <c r="D69" s="53"/>
      <c r="E69" s="52" t="s">
        <v>56</v>
      </c>
      <c r="F69" s="53"/>
      <c r="G69" s="54"/>
      <c r="H69" s="55"/>
      <c r="I69" s="56"/>
      <c r="J69" s="56"/>
      <c r="P69" s="60">
        <f t="shared" si="4"/>
        <v>0</v>
      </c>
      <c r="Q69" s="68">
        <f t="shared" si="1"/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68</v>
      </c>
      <c r="B70" s="51">
        <v>44603</v>
      </c>
      <c r="C70" s="52" t="s">
        <v>24</v>
      </c>
      <c r="D70" s="53"/>
      <c r="E70" s="52" t="s">
        <v>35</v>
      </c>
      <c r="F70" s="53"/>
      <c r="G70" s="54"/>
      <c r="H70" s="55"/>
      <c r="I70" s="56"/>
      <c r="J70" s="56"/>
      <c r="P70" s="60">
        <f t="shared" si="4"/>
        <v>0</v>
      </c>
      <c r="Q70" s="68">
        <f t="shared" si="1"/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69</v>
      </c>
      <c r="B71" s="51">
        <v>44604</v>
      </c>
      <c r="C71" s="52" t="s">
        <v>4</v>
      </c>
      <c r="D71" s="53"/>
      <c r="E71" s="52" t="s">
        <v>38</v>
      </c>
      <c r="F71" s="53"/>
      <c r="G71" s="54"/>
      <c r="H71" s="55"/>
      <c r="I71" s="56"/>
      <c r="J71" s="56"/>
      <c r="P71" s="60">
        <f t="shared" si="4"/>
        <v>0</v>
      </c>
      <c r="Q71" s="68">
        <f t="shared" si="1"/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70</v>
      </c>
      <c r="B72" s="51">
        <v>44604</v>
      </c>
      <c r="C72" s="52" t="s">
        <v>55</v>
      </c>
      <c r="D72" s="53"/>
      <c r="E72" s="52" t="s">
        <v>56</v>
      </c>
      <c r="F72" s="53"/>
      <c r="G72" s="54"/>
      <c r="H72" s="55"/>
      <c r="I72" s="56"/>
      <c r="J72" s="56"/>
      <c r="P72" s="60">
        <f t="shared" si="4"/>
        <v>0</v>
      </c>
      <c r="Q72" s="68">
        <f t="shared" si="1"/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71</v>
      </c>
      <c r="B73" s="51">
        <v>44604</v>
      </c>
      <c r="C73" s="52" t="s">
        <v>3</v>
      </c>
      <c r="D73" s="53"/>
      <c r="E73" s="52" t="s">
        <v>35</v>
      </c>
      <c r="F73" s="53"/>
      <c r="G73" s="54"/>
      <c r="H73" s="55"/>
      <c r="I73" s="56"/>
      <c r="J73" s="56"/>
      <c r="P73" s="60">
        <f t="shared" si="4"/>
        <v>0</v>
      </c>
      <c r="Q73" s="68">
        <f t="shared" si="1"/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72</v>
      </c>
      <c r="B74" s="72">
        <v>44604</v>
      </c>
      <c r="C74" s="73" t="s">
        <v>5</v>
      </c>
      <c r="D74" s="74"/>
      <c r="E74" s="73" t="s">
        <v>24</v>
      </c>
      <c r="F74" s="74"/>
      <c r="G74" s="75"/>
      <c r="H74" s="55"/>
      <c r="I74" s="56"/>
      <c r="J74" s="56"/>
      <c r="P74" s="76">
        <f t="shared" si="4"/>
        <v>0</v>
      </c>
      <c r="Q74" s="77">
        <f t="shared" si="1"/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415</v>
      </c>
    </row>
    <row r="113" spans="4:6" x14ac:dyDescent="0.3">
      <c r="D113" s="1">
        <f>SUM(D3:D111)</f>
        <v>201</v>
      </c>
      <c r="F113" s="1">
        <f>SUM(F3:F111)</f>
        <v>214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2022-01-17T16:48:41Z</dcterms:modified>
</cp:coreProperties>
</file>