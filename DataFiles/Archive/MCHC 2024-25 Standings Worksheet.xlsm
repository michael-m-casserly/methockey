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sse\Downloads\"/>
    </mc:Choice>
  </mc:AlternateContent>
  <xr:revisionPtr revIDLastSave="0" documentId="13_ncr:1_{6D847147-14CC-4E2E-9F58-D0DC2A8D343C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<sst xmlns="http://schemas.openxmlformats.org/spreadsheetml/2006/main" count="193" uniqueCount="66">
  <si>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</si>
  <si>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</si>
  <si>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</si>
  <si>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</si>
  <si>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</si>
  <si>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</si>
  <si>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</si>
  <si>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</si>
  <si>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</si>
  <si>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</si>
  <si>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</si>
  <si>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</si>
  <si>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</si>
  <si>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</si>
  <si>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</si>
  <si>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</si>
  <si>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</si>
  <si>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</si>
  <si>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</si>
  <si>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</si>
  <si>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</si>
  <si>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</si>
  <si>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</si>
  <si>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</si>
  <si>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</si>
  <si>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</si>
  <si>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</si>
  <si>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</si>
  <si>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</si>
  <si>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</si>
  <si>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</si>
  <si>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</si>
  <si>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</si>
  <si>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</si>
  <si>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</si>
  <si>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</si>
  <si>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</si>
  <si>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</si>
  <si>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</si>
  <si>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</si>
  <si>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</si>
  <si>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</si>
  <si>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</si>
  <si>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</si>
  <si>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STAC (Home) Wins</t>
  </si>
  <si>
    <t>WestConn (Away) Wins</t>
  </si>
  <si>
    <t>STAC (Away) Wins</t>
  </si>
  <si>
    <t>Sacred Heart (Away) Wins</t>
  </si>
  <si>
    <t>*</t>
  </si>
  <si>
    <t>Maritime (Home) Wins</t>
  </si>
  <si>
    <t>Sacred Heart (Home) Wins</t>
  </si>
  <si>
    <t>WestConn (Home) Wins</t>
  </si>
  <si>
    <t>Maritime in OT/SO</t>
  </si>
  <si>
    <t>USMMA (Away) Wins</t>
  </si>
  <si>
    <t>USMMA (Home) Wins</t>
  </si>
  <si>
    <t>2024-25 MCHC Playoffs</t>
  </si>
  <si>
    <t>YESHIVA</t>
  </si>
  <si>
    <t>**</t>
  </si>
  <si>
    <t>Yeshiva</t>
  </si>
  <si>
    <t>NJIT in OT/SO</t>
  </si>
  <si>
    <t>Yeshiva (Home) Wins</t>
  </si>
  <si>
    <t>Yeshiva (Away) Wins</t>
  </si>
  <si>
    <t>12-Game Season
Top 4 Teams Qualify for the Playoffs</t>
  </si>
  <si>
    <t>Maritime (Away) Wins</t>
  </si>
  <si>
    <t>SHU wins Tiebreaker #3: Head-to-Head</t>
  </si>
  <si>
    <t>Goals For minus Goals Against, 13-4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</si>
</sst>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C17" sqref="C17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.75" x14ac:dyDescent="0.25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25">
      <c r="A4" s="85"/>
      <c r="B4" s="57">
        <v>1</v>
      </c>
      <c r="C4" s="59" t="s">
        <v>34</v>
      </c>
      <c r="D4" s="23">
        <v>12</v>
      </c>
      <c r="E4" s="23">
        <v>11</v>
      </c>
      <c r="F4" s="23">
        <v>1</v>
      </c>
      <c r="G4" s="23">
        <v>0</v>
      </c>
      <c r="H4" s="58">
        <v>22</v>
      </c>
      <c r="I4" s="23">
        <v>102</v>
      </c>
      <c r="J4" s="60">
        <v>21</v>
      </c>
      <c r="K4" s="85"/>
      <c r="M4" s="4">
        <v>1</v>
      </c>
      <c r="N4" t="s">
        <v>11</v>
      </c>
    </row>
    <row r="5" spans="1:16" ht="18" customHeight="1" x14ac:dyDescent="0.25">
      <c r="A5" s="85"/>
      <c r="B5" s="57">
        <v>2</v>
      </c>
      <c r="C5" s="59" t="s">
        <v>38</v>
      </c>
      <c r="D5" s="23">
        <v>12</v>
      </c>
      <c r="E5" s="23">
        <v>11</v>
      </c>
      <c r="F5" s="23">
        <v>1</v>
      </c>
      <c r="G5" s="23">
        <v>0</v>
      </c>
      <c r="H5" s="58">
        <v>22</v>
      </c>
      <c r="I5" s="23">
        <v>89</v>
      </c>
      <c r="J5" s="60">
        <v>36</v>
      </c>
      <c r="K5" s="85"/>
      <c r="M5" s="4">
        <v>2</v>
      </c>
      <c r="N5" t="s">
        <v>12</v>
      </c>
    </row>
    <row r="6" spans="1:16" ht="18" customHeight="1" x14ac:dyDescent="0.25">
      <c r="A6" s="85"/>
      <c r="B6" s="57">
        <v>3</v>
      </c>
      <c r="C6" s="59" t="s">
        <v>19</v>
      </c>
      <c r="D6" s="23">
        <v>12</v>
      </c>
      <c r="E6" s="23">
        <v>7</v>
      </c>
      <c r="F6" s="23">
        <v>4</v>
      </c>
      <c r="G6" s="23">
        <v>1</v>
      </c>
      <c r="H6" s="58">
        <v>15</v>
      </c>
      <c r="I6" s="23">
        <v>45</v>
      </c>
      <c r="J6" s="60">
        <v>50</v>
      </c>
      <c r="K6" s="85"/>
      <c r="M6" s="4">
        <v>3</v>
      </c>
      <c r="N6" t="s">
        <v>13</v>
      </c>
    </row>
    <row r="7" spans="1:16" ht="18" customHeight="1" x14ac:dyDescent="0.25">
      <c r="A7" s="85"/>
      <c r="B7" s="57">
        <v>4</v>
      </c>
      <c r="C7" s="59" t="s">
        <v>40</v>
      </c>
      <c r="D7" s="23">
        <v>12</v>
      </c>
      <c r="E7" s="23">
        <v>6</v>
      </c>
      <c r="F7" s="23">
        <v>4</v>
      </c>
      <c r="G7" s="23">
        <v>2</v>
      </c>
      <c r="H7" s="58">
        <v>14</v>
      </c>
      <c r="I7" s="23">
        <v>50</v>
      </c>
      <c r="J7" s="60">
        <v>46</v>
      </c>
      <c r="K7" s="85"/>
      <c r="M7" s="4">
        <v>4</v>
      </c>
      <c r="N7" t="s">
        <v>15</v>
      </c>
    </row>
    <row r="8" spans="1:16" ht="18" customHeight="1" x14ac:dyDescent="0.25">
      <c r="A8" s="85"/>
      <c r="B8" s="57">
        <v>5</v>
      </c>
      <c r="C8" s="59" t="s">
        <v>41</v>
      </c>
      <c r="D8" s="23">
        <v>12</v>
      </c>
      <c r="E8" s="23">
        <v>3</v>
      </c>
      <c r="F8" s="23">
        <v>8</v>
      </c>
      <c r="G8" s="23">
        <v>1</v>
      </c>
      <c r="H8" s="58">
        <v>7</v>
      </c>
      <c r="I8" s="23">
        <v>44</v>
      </c>
      <c r="J8" s="60">
        <v>72</v>
      </c>
      <c r="K8" s="85"/>
      <c r="M8" s="4">
        <v>5</v>
      </c>
      <c r="N8" t="s">
        <v>17</v>
      </c>
    </row>
    <row r="9" spans="1:16" ht="18" customHeight="1" x14ac:dyDescent="0.25">
      <c r="A9" s="85"/>
      <c r="B9" s="57">
        <v>6</v>
      </c>
      <c r="C9" s="59" t="s">
        <v>58</v>
      </c>
      <c r="D9" s="23">
        <v>12</v>
      </c>
      <c r="E9" s="23">
        <v>2</v>
      </c>
      <c r="F9" s="23">
        <v>10</v>
      </c>
      <c r="G9" s="23">
        <v>0</v>
      </c>
      <c r="H9" s="58">
        <v>4</v>
      </c>
      <c r="I9" s="23">
        <v>54</v>
      </c>
      <c r="J9" s="60">
        <v>121</v>
      </c>
      <c r="K9" s="85"/>
    </row>
    <row r="10" spans="1:16" ht="18" customHeight="1" thickBot="1" x14ac:dyDescent="0.3">
      <c r="A10" s="85"/>
      <c r="B10" s="57">
        <v>7</v>
      </c>
      <c r="C10" s="76" t="s">
        <v>43</v>
      </c>
      <c r="D10" s="77">
        <v>12</v>
      </c>
      <c r="E10" s="77">
        <v>2</v>
      </c>
      <c r="F10" s="77">
        <v>10</v>
      </c>
      <c r="G10" s="77">
        <v>0</v>
      </c>
      <c r="H10" s="78">
        <v>4</v>
      </c>
      <c r="I10" s="77">
        <v>41</v>
      </c>
      <c r="J10" s="79">
        <v>79</v>
      </c>
      <c r="K10" s="85"/>
      <c r="M10" t="s">
        <v>14</v>
      </c>
    </row>
    <row r="11" spans="1:16" ht="18" customHeight="1" thickBot="1" x14ac:dyDescent="0.3">
      <c r="A11" s="85"/>
      <c r="B11" s="57"/>
      <c r="C11" s="93" t="s">
        <v>64</v>
      </c>
      <c r="D11" s="94"/>
      <c r="E11" s="94"/>
      <c r="F11" s="94"/>
      <c r="G11" s="94"/>
      <c r="H11" s="94"/>
      <c r="I11" s="94"/>
      <c r="J11" s="95"/>
      <c r="K11" s="85"/>
    </row>
    <row r="12" spans="1:16" ht="17.25" thickTop="1" thickBot="1" x14ac:dyDescent="0.3">
      <c r="A12" s="85"/>
      <c r="B12" s="57"/>
      <c r="C12" s="96" t="s">
        <v>65</v>
      </c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42</v>
      </c>
    </row>
    <row r="13" spans="1:16" ht="15.75" x14ac:dyDescent="0.25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45711.365960648145</v>
      </c>
      <c r="H13" s="86"/>
      <c r="I13" s="86"/>
      <c r="J13" s="87"/>
      <c r="K13" s="1"/>
      <c r="M13" s="32"/>
      <c r="N13" s="32"/>
      <c r="O13" s="32"/>
    </row>
    <row r="14" spans="1:16" ht="52.9" customHeight="1" thickBot="1" x14ac:dyDescent="0.3">
      <c r="B14" s="33"/>
      <c r="C14" s="90" t="s">
        <v>62</v>
      </c>
      <c r="D14" s="91"/>
      <c r="E14" s="91"/>
      <c r="F14" s="91"/>
      <c r="G14" s="91"/>
      <c r="H14" s="91"/>
      <c r="I14" s="91"/>
      <c r="J14" s="92"/>
    </row>
    <row r="15" spans="1:16" x14ac:dyDescent="0.25">
      <c r="G15" s="83" t="s">
        <v>18</v>
      </c>
      <c r="H15" s="83"/>
      <c r="I15" s="7">
        <f>SUM(I4:I12)</f>
        <v>425</v>
      </c>
      <c r="J15" s="7">
        <f>SUM(J4:J12)</f>
        <v>425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H49" sqref="H49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4" style="61" bestFit="1" customWidth="1"/>
    <col min="5" max="5" width="10.85546875" style="19" bestFit="1" customWidth="1"/>
    <col min="6" max="6" width="4" style="61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6.5" thickTop="1" thickBot="1" x14ac:dyDescent="0.3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42</v>
      </c>
      <c r="U2" s="75"/>
    </row>
    <row r="3" spans="1:21" s="40" customFormat="1" ht="16.5" thickTop="1" thickBot="1" x14ac:dyDescent="0.3">
      <c r="A3" s="34">
        <v>1</v>
      </c>
      <c r="B3" s="35">
        <v>45563</v>
      </c>
      <c r="C3" s="36" t="s">
        <v>19</v>
      </c>
      <c r="D3" s="62">
        <v>2</v>
      </c>
      <c r="E3" s="36" t="s">
        <v>34</v>
      </c>
      <c r="F3" s="62">
        <v>6</v>
      </c>
      <c r="G3" s="37"/>
      <c r="H3" s="38" t="s">
        <v>50</v>
      </c>
      <c r="I3" s="39">
        <v>3</v>
      </c>
      <c r="J3" s="39">
        <v>3</v>
      </c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9</v>
      </c>
      <c r="U3" s="45">
        <f>IF($T$2&gt;0, T3/$T$2, 0)</f>
        <v>0.21428571428571427</v>
      </c>
    </row>
    <row r="4" spans="1:21" s="40" customFormat="1" ht="16.5" thickTop="1" thickBot="1" x14ac:dyDescent="0.3">
      <c r="A4" s="34">
        <v>2</v>
      </c>
      <c r="B4" s="35">
        <v>45576</v>
      </c>
      <c r="C4" s="36" t="s">
        <v>40</v>
      </c>
      <c r="D4" s="62">
        <v>3</v>
      </c>
      <c r="E4" s="36" t="s">
        <v>38</v>
      </c>
      <c r="F4" s="62">
        <v>6</v>
      </c>
      <c r="G4" s="37"/>
      <c r="H4" s="38" t="s">
        <v>44</v>
      </c>
      <c r="I4" s="39">
        <v>4</v>
      </c>
      <c r="J4" s="39">
        <v>4</v>
      </c>
      <c r="M4" s="42" t="s">
        <v>38</v>
      </c>
      <c r="N4" s="42">
        <v>4</v>
      </c>
      <c r="P4" s="43">
        <f t="shared" ref="P4:P11" si="0">D4-F4</f>
        <v>-3</v>
      </c>
      <c r="Q4" s="40">
        <f t="shared" ref="Q4:Q11" si="1">ABS(P4)</f>
        <v>3</v>
      </c>
      <c r="R4" s="44">
        <v>2</v>
      </c>
      <c r="S4" s="40" t="s">
        <v>27</v>
      </c>
      <c r="T4" s="40">
        <f>COUNTIF($Q$3:$Q$44,R4)</f>
        <v>5</v>
      </c>
      <c r="U4" s="45">
        <f>IF($T$2&gt;0, T4/$T$2, 0)</f>
        <v>0.11904761904761904</v>
      </c>
    </row>
    <row r="5" spans="1:21" s="40" customFormat="1" ht="16.5" thickTop="1" thickBot="1" x14ac:dyDescent="0.3">
      <c r="A5" s="34">
        <v>3</v>
      </c>
      <c r="B5" s="35">
        <v>45577</v>
      </c>
      <c r="C5" s="36" t="s">
        <v>43</v>
      </c>
      <c r="D5" s="62">
        <v>3</v>
      </c>
      <c r="E5" s="36" t="s">
        <v>19</v>
      </c>
      <c r="F5" s="62">
        <v>4</v>
      </c>
      <c r="G5" s="37"/>
      <c r="H5" s="38" t="s">
        <v>49</v>
      </c>
      <c r="I5" s="39">
        <v>1</v>
      </c>
      <c r="J5" s="39">
        <v>1</v>
      </c>
      <c r="M5" s="42" t="s">
        <v>41</v>
      </c>
      <c r="N5" s="42">
        <v>5</v>
      </c>
      <c r="P5" s="43">
        <f t="shared" si="0"/>
        <v>-1</v>
      </c>
      <c r="Q5" s="40">
        <f t="shared" si="1"/>
        <v>1</v>
      </c>
      <c r="R5" s="44">
        <v>3</v>
      </c>
      <c r="S5" s="40" t="s">
        <v>27</v>
      </c>
      <c r="T5" s="40">
        <f>COUNTIF($Q$3:$Q$44,R5)</f>
        <v>6</v>
      </c>
      <c r="U5" s="45">
        <f>IF($T$2&gt;0, T5/$T$2, 0)</f>
        <v>0.14285714285714285</v>
      </c>
    </row>
    <row r="6" spans="1:21" s="40" customFormat="1" ht="16.5" thickTop="1" thickBot="1" x14ac:dyDescent="0.3">
      <c r="A6" s="34">
        <v>4</v>
      </c>
      <c r="B6" s="35">
        <v>45583</v>
      </c>
      <c r="C6" s="36" t="s">
        <v>43</v>
      </c>
      <c r="D6" s="62">
        <v>5</v>
      </c>
      <c r="E6" s="36" t="s">
        <v>38</v>
      </c>
      <c r="F6" s="62">
        <v>9</v>
      </c>
      <c r="G6" s="37"/>
      <c r="H6" s="38" t="s">
        <v>44</v>
      </c>
      <c r="I6" s="39">
        <v>4</v>
      </c>
      <c r="J6" s="39">
        <v>4</v>
      </c>
      <c r="M6" s="42" t="s">
        <v>39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27</v>
      </c>
      <c r="T6" s="40">
        <f>COUNTIF($Q$3:$Q$44,R6)</f>
        <v>3</v>
      </c>
      <c r="U6" s="45">
        <f>IF($T$2&gt;0, T6/$T$2, 0)</f>
        <v>7.1428571428571425E-2</v>
      </c>
    </row>
    <row r="7" spans="1:21" s="40" customFormat="1" ht="16.5" thickTop="1" thickBot="1" x14ac:dyDescent="0.3">
      <c r="A7" s="34">
        <v>5</v>
      </c>
      <c r="B7" s="35">
        <v>45584</v>
      </c>
      <c r="C7" s="36" t="s">
        <v>40</v>
      </c>
      <c r="D7" s="62">
        <v>2</v>
      </c>
      <c r="E7" s="36" t="s">
        <v>19</v>
      </c>
      <c r="F7" s="62">
        <v>3</v>
      </c>
      <c r="G7" s="37" t="s">
        <v>48</v>
      </c>
      <c r="H7" s="38" t="s">
        <v>52</v>
      </c>
      <c r="I7" s="39">
        <v>1</v>
      </c>
      <c r="J7" s="39">
        <v>1</v>
      </c>
      <c r="M7" s="42" t="s">
        <v>56</v>
      </c>
      <c r="N7" s="42">
        <v>7</v>
      </c>
      <c r="P7" s="43">
        <f t="shared" si="0"/>
        <v>-1</v>
      </c>
      <c r="Q7" s="40">
        <f t="shared" si="1"/>
        <v>1</v>
      </c>
      <c r="R7" s="46" t="s">
        <v>26</v>
      </c>
      <c r="S7" s="47" t="s">
        <v>27</v>
      </c>
      <c r="T7" s="47">
        <f>COUNTIF($Q$3:$Q$44,"&gt;=5")</f>
        <v>19</v>
      </c>
      <c r="U7" s="48">
        <f>IF($T$2&gt;0, T7/$T$2, 0)</f>
        <v>0.45238095238095238</v>
      </c>
    </row>
    <row r="8" spans="1:21" s="40" customFormat="1" ht="16.5" thickTop="1" thickBot="1" x14ac:dyDescent="0.3">
      <c r="A8" s="34">
        <v>6</v>
      </c>
      <c r="B8" s="35">
        <v>45590</v>
      </c>
      <c r="C8" s="36" t="s">
        <v>19</v>
      </c>
      <c r="D8" s="62">
        <v>3</v>
      </c>
      <c r="E8" s="36" t="s">
        <v>40</v>
      </c>
      <c r="F8" s="62">
        <v>2</v>
      </c>
      <c r="G8" s="37" t="s">
        <v>57</v>
      </c>
      <c r="H8" s="38" t="s">
        <v>52</v>
      </c>
      <c r="I8" s="39">
        <v>6</v>
      </c>
      <c r="J8" s="39">
        <v>6</v>
      </c>
      <c r="M8" s="42"/>
      <c r="N8" s="42"/>
      <c r="P8" s="43">
        <f t="shared" si="0"/>
        <v>1</v>
      </c>
      <c r="Q8" s="49">
        <f t="shared" si="1"/>
        <v>1</v>
      </c>
      <c r="U8" s="50">
        <f>SUM(U3:U7)</f>
        <v>1</v>
      </c>
    </row>
    <row r="9" spans="1:21" s="40" customFormat="1" ht="16.5" thickTop="1" thickBot="1" x14ac:dyDescent="0.3">
      <c r="A9" s="34">
        <v>7</v>
      </c>
      <c r="B9" s="35">
        <v>45591</v>
      </c>
      <c r="C9" s="36" t="s">
        <v>43</v>
      </c>
      <c r="D9" s="62">
        <v>1</v>
      </c>
      <c r="E9" s="36" t="s">
        <v>40</v>
      </c>
      <c r="F9" s="62">
        <v>8</v>
      </c>
      <c r="G9" s="37"/>
      <c r="H9" s="38" t="s">
        <v>51</v>
      </c>
      <c r="I9" s="39">
        <v>6</v>
      </c>
      <c r="J9" s="39">
        <v>6</v>
      </c>
      <c r="M9" s="42"/>
      <c r="N9" s="42"/>
      <c r="P9" s="43">
        <f t="shared" si="0"/>
        <v>-7</v>
      </c>
      <c r="Q9" s="49">
        <f t="shared" si="1"/>
        <v>7</v>
      </c>
      <c r="U9" s="50"/>
    </row>
    <row r="10" spans="1:21" s="40" customFormat="1" ht="16.5" thickTop="1" thickBot="1" x14ac:dyDescent="0.3">
      <c r="A10" s="34">
        <v>8</v>
      </c>
      <c r="B10" s="35">
        <v>45592</v>
      </c>
      <c r="C10" s="36" t="s">
        <v>38</v>
      </c>
      <c r="D10" s="62">
        <v>4</v>
      </c>
      <c r="E10" s="36" t="s">
        <v>34</v>
      </c>
      <c r="F10" s="62">
        <v>2</v>
      </c>
      <c r="G10" s="37"/>
      <c r="H10" s="38" t="s">
        <v>46</v>
      </c>
      <c r="I10" s="39">
        <v>3</v>
      </c>
      <c r="J10" s="39">
        <v>3</v>
      </c>
      <c r="M10" s="42"/>
      <c r="N10" s="42"/>
      <c r="P10" s="43">
        <f t="shared" si="0"/>
        <v>2</v>
      </c>
      <c r="Q10" s="49">
        <f t="shared" si="1"/>
        <v>2</v>
      </c>
      <c r="U10" s="50"/>
    </row>
    <row r="11" spans="1:21" s="40" customFormat="1" ht="16.5" thickTop="1" thickBot="1" x14ac:dyDescent="0.3">
      <c r="A11" s="34">
        <v>9</v>
      </c>
      <c r="B11" s="35">
        <v>45592</v>
      </c>
      <c r="C11" s="36" t="s">
        <v>19</v>
      </c>
      <c r="D11" s="62">
        <v>3</v>
      </c>
      <c r="E11" s="36" t="s">
        <v>43</v>
      </c>
      <c r="F11" s="62">
        <v>4</v>
      </c>
      <c r="G11" s="37" t="s">
        <v>57</v>
      </c>
      <c r="H11" s="38" t="s">
        <v>59</v>
      </c>
      <c r="I11" s="39">
        <v>2</v>
      </c>
      <c r="J11" s="39">
        <v>2</v>
      </c>
      <c r="N11" s="42">
        <v>7</v>
      </c>
      <c r="P11" s="43">
        <f t="shared" si="0"/>
        <v>-1</v>
      </c>
      <c r="Q11" s="49">
        <f t="shared" si="1"/>
        <v>1</v>
      </c>
      <c r="U11" s="51"/>
    </row>
    <row r="12" spans="1:21" s="40" customFormat="1" ht="15.75" thickTop="1" x14ac:dyDescent="0.25">
      <c r="A12" s="34">
        <v>10</v>
      </c>
      <c r="B12" s="35">
        <v>45598</v>
      </c>
      <c r="C12" s="36" t="s">
        <v>40</v>
      </c>
      <c r="D12" s="62">
        <v>5</v>
      </c>
      <c r="E12" s="36" t="s">
        <v>43</v>
      </c>
      <c r="F12" s="62">
        <v>4</v>
      </c>
      <c r="G12" s="37"/>
      <c r="H12" s="38" t="s">
        <v>45</v>
      </c>
      <c r="I12" s="39">
        <v>2</v>
      </c>
      <c r="J12" s="39">
        <v>2</v>
      </c>
      <c r="P12" s="43">
        <f t="shared" ref="P12:P18" si="2">D12-F12</f>
        <v>1</v>
      </c>
      <c r="Q12" s="49">
        <f t="shared" ref="Q12:Q18" si="3">ABS(P12)</f>
        <v>1</v>
      </c>
    </row>
    <row r="13" spans="1:21" s="40" customFormat="1" x14ac:dyDescent="0.25">
      <c r="A13" s="34">
        <v>11</v>
      </c>
      <c r="B13" s="35">
        <v>45599</v>
      </c>
      <c r="C13" s="36" t="s">
        <v>58</v>
      </c>
      <c r="D13" s="62">
        <v>6</v>
      </c>
      <c r="E13" s="36" t="s">
        <v>40</v>
      </c>
      <c r="F13" s="62">
        <v>9</v>
      </c>
      <c r="G13" s="37"/>
      <c r="H13" s="38" t="s">
        <v>51</v>
      </c>
      <c r="I13" s="39">
        <v>6</v>
      </c>
      <c r="J13" s="39">
        <v>6</v>
      </c>
      <c r="P13" s="43">
        <f t="shared" si="2"/>
        <v>-3</v>
      </c>
      <c r="Q13" s="49">
        <f t="shared" si="3"/>
        <v>3</v>
      </c>
    </row>
    <row r="14" spans="1:21" s="40" customFormat="1" x14ac:dyDescent="0.25">
      <c r="A14" s="34">
        <v>13</v>
      </c>
      <c r="B14" s="35">
        <v>45605</v>
      </c>
      <c r="C14" s="36" t="s">
        <v>38</v>
      </c>
      <c r="D14" s="62">
        <v>7</v>
      </c>
      <c r="E14" s="36" t="s">
        <v>19</v>
      </c>
      <c r="F14" s="62">
        <v>2</v>
      </c>
      <c r="G14" s="37"/>
      <c r="H14" s="38" t="s">
        <v>46</v>
      </c>
      <c r="I14" s="39">
        <v>1</v>
      </c>
      <c r="J14" s="39">
        <v>1</v>
      </c>
      <c r="P14" s="43">
        <f t="shared" si="2"/>
        <v>5</v>
      </c>
      <c r="Q14" s="49">
        <f t="shared" si="3"/>
        <v>5</v>
      </c>
    </row>
    <row r="15" spans="1:21" s="40" customFormat="1" x14ac:dyDescent="0.25">
      <c r="A15" s="34">
        <v>14</v>
      </c>
      <c r="B15" s="35">
        <v>45606</v>
      </c>
      <c r="C15" s="36" t="s">
        <v>58</v>
      </c>
      <c r="D15" s="62">
        <v>2</v>
      </c>
      <c r="E15" s="36" t="s">
        <v>34</v>
      </c>
      <c r="F15" s="62">
        <v>17</v>
      </c>
      <c r="G15" s="37"/>
      <c r="H15" s="38" t="s">
        <v>50</v>
      </c>
      <c r="I15" s="39">
        <v>3</v>
      </c>
      <c r="J15" s="39">
        <v>3</v>
      </c>
      <c r="P15" s="43">
        <f t="shared" si="2"/>
        <v>-15</v>
      </c>
      <c r="Q15" s="49">
        <f t="shared" si="3"/>
        <v>15</v>
      </c>
    </row>
    <row r="16" spans="1:21" s="40" customFormat="1" x14ac:dyDescent="0.25">
      <c r="A16" s="34">
        <v>15</v>
      </c>
      <c r="B16" s="35">
        <v>45612</v>
      </c>
      <c r="C16" s="36" t="s">
        <v>38</v>
      </c>
      <c r="D16" s="62">
        <v>13</v>
      </c>
      <c r="E16" s="36" t="s">
        <v>58</v>
      </c>
      <c r="F16" s="62">
        <v>1</v>
      </c>
      <c r="G16" s="37"/>
      <c r="H16" s="38" t="s">
        <v>46</v>
      </c>
      <c r="I16" s="39">
        <v>7</v>
      </c>
      <c r="J16" s="39">
        <v>7</v>
      </c>
      <c r="P16" s="43">
        <f t="shared" si="2"/>
        <v>12</v>
      </c>
      <c r="Q16" s="49">
        <f t="shared" si="3"/>
        <v>12</v>
      </c>
    </row>
    <row r="17" spans="1:17" s="40" customFormat="1" x14ac:dyDescent="0.25">
      <c r="A17" s="34">
        <v>16</v>
      </c>
      <c r="B17" s="35">
        <v>45612</v>
      </c>
      <c r="C17" s="36" t="s">
        <v>40</v>
      </c>
      <c r="D17" s="62">
        <v>5</v>
      </c>
      <c r="E17" s="36" t="s">
        <v>41</v>
      </c>
      <c r="F17" s="62">
        <v>3</v>
      </c>
      <c r="G17" s="37"/>
      <c r="H17" s="38" t="s">
        <v>45</v>
      </c>
      <c r="I17" s="39">
        <v>5</v>
      </c>
      <c r="J17" s="39">
        <v>5</v>
      </c>
      <c r="P17" s="43">
        <f t="shared" si="2"/>
        <v>2</v>
      </c>
      <c r="Q17" s="49">
        <f t="shared" si="3"/>
        <v>2</v>
      </c>
    </row>
    <row r="18" spans="1:17" s="40" customFormat="1" x14ac:dyDescent="0.25">
      <c r="A18" s="34">
        <v>18</v>
      </c>
      <c r="B18" s="35">
        <v>45618</v>
      </c>
      <c r="C18" s="36" t="s">
        <v>34</v>
      </c>
      <c r="D18" s="62">
        <v>8</v>
      </c>
      <c r="E18" s="36" t="s">
        <v>41</v>
      </c>
      <c r="F18" s="62">
        <v>2</v>
      </c>
      <c r="G18" s="37"/>
      <c r="H18" s="38" t="s">
        <v>47</v>
      </c>
      <c r="I18" s="39">
        <v>5</v>
      </c>
      <c r="J18" s="39">
        <v>5</v>
      </c>
      <c r="P18" s="43">
        <f t="shared" si="2"/>
        <v>6</v>
      </c>
      <c r="Q18" s="49">
        <f t="shared" si="3"/>
        <v>6</v>
      </c>
    </row>
    <row r="19" spans="1:17" s="40" customFormat="1" x14ac:dyDescent="0.25">
      <c r="A19" s="34">
        <v>19</v>
      </c>
      <c r="B19" s="35">
        <v>45619</v>
      </c>
      <c r="C19" s="36" t="s">
        <v>40</v>
      </c>
      <c r="D19" s="62">
        <v>8</v>
      </c>
      <c r="E19" s="36" t="s">
        <v>58</v>
      </c>
      <c r="F19" s="62">
        <v>3</v>
      </c>
      <c r="G19" s="37"/>
      <c r="H19" s="38" t="s">
        <v>45</v>
      </c>
      <c r="I19" s="39">
        <v>7</v>
      </c>
      <c r="J19" s="39">
        <v>7</v>
      </c>
      <c r="P19" s="43">
        <f t="shared" ref="P19:P31" si="4">D19-F19</f>
        <v>5</v>
      </c>
      <c r="Q19" s="49">
        <f t="shared" ref="Q19:Q31" si="5">ABS(P19)</f>
        <v>5</v>
      </c>
    </row>
    <row r="20" spans="1:17" s="40" customFormat="1" x14ac:dyDescent="0.25">
      <c r="A20" s="34">
        <v>20</v>
      </c>
      <c r="B20" s="35">
        <v>45619</v>
      </c>
      <c r="C20" s="36" t="s">
        <v>41</v>
      </c>
      <c r="D20" s="62">
        <v>2</v>
      </c>
      <c r="E20" s="36" t="s">
        <v>19</v>
      </c>
      <c r="F20" s="62">
        <v>4</v>
      </c>
      <c r="G20" s="37"/>
      <c r="H20" s="38" t="s">
        <v>49</v>
      </c>
      <c r="I20" s="39">
        <v>1</v>
      </c>
      <c r="J20" s="39">
        <v>1</v>
      </c>
      <c r="P20" s="43">
        <f t="shared" si="4"/>
        <v>-2</v>
      </c>
      <c r="Q20" s="49">
        <f t="shared" si="5"/>
        <v>2</v>
      </c>
    </row>
    <row r="21" spans="1:17" s="40" customFormat="1" x14ac:dyDescent="0.25">
      <c r="A21" s="34">
        <v>21</v>
      </c>
      <c r="B21" s="35">
        <v>45620</v>
      </c>
      <c r="C21" s="36" t="s">
        <v>43</v>
      </c>
      <c r="D21" s="62">
        <v>2</v>
      </c>
      <c r="E21" s="36" t="s">
        <v>34</v>
      </c>
      <c r="F21" s="62">
        <v>8</v>
      </c>
      <c r="G21" s="37"/>
      <c r="H21" s="38" t="s">
        <v>50</v>
      </c>
      <c r="I21" s="39">
        <v>3</v>
      </c>
      <c r="J21" s="39">
        <v>3</v>
      </c>
      <c r="P21" s="43">
        <f t="shared" si="4"/>
        <v>-6</v>
      </c>
      <c r="Q21" s="49">
        <f t="shared" si="5"/>
        <v>6</v>
      </c>
    </row>
    <row r="22" spans="1:17" s="40" customFormat="1" x14ac:dyDescent="0.25">
      <c r="A22" s="34">
        <v>22</v>
      </c>
      <c r="B22" s="35">
        <v>45632</v>
      </c>
      <c r="C22" s="36" t="s">
        <v>34</v>
      </c>
      <c r="D22" s="62">
        <v>2</v>
      </c>
      <c r="E22" s="36" t="s">
        <v>40</v>
      </c>
      <c r="F22" s="62">
        <v>1</v>
      </c>
      <c r="G22" s="37"/>
      <c r="H22" s="38" t="s">
        <v>47</v>
      </c>
      <c r="I22" s="39">
        <v>6</v>
      </c>
      <c r="J22" s="39">
        <v>6</v>
      </c>
      <c r="P22" s="43">
        <f t="shared" si="4"/>
        <v>1</v>
      </c>
      <c r="Q22" s="49">
        <f t="shared" si="5"/>
        <v>1</v>
      </c>
    </row>
    <row r="23" spans="1:17" s="40" customFormat="1" x14ac:dyDescent="0.25">
      <c r="A23" s="34">
        <v>23</v>
      </c>
      <c r="B23" s="35">
        <v>45633</v>
      </c>
      <c r="C23" s="36" t="s">
        <v>38</v>
      </c>
      <c r="D23" s="62">
        <v>7</v>
      </c>
      <c r="E23" s="36" t="s">
        <v>40</v>
      </c>
      <c r="F23" s="62">
        <v>2</v>
      </c>
      <c r="G23" s="37"/>
      <c r="H23" s="38" t="s">
        <v>46</v>
      </c>
      <c r="I23" s="39">
        <v>6</v>
      </c>
      <c r="J23" s="39">
        <v>6</v>
      </c>
      <c r="N23" s="40">
        <f>LOOKUP(C24,M1:M5,N1:N5)</f>
        <v>5</v>
      </c>
      <c r="P23" s="43">
        <f t="shared" si="4"/>
        <v>5</v>
      </c>
      <c r="Q23" s="49">
        <f t="shared" si="5"/>
        <v>5</v>
      </c>
    </row>
    <row r="24" spans="1:17" s="40" customFormat="1" x14ac:dyDescent="0.25">
      <c r="A24" s="34">
        <v>24</v>
      </c>
      <c r="B24" s="35">
        <v>45633</v>
      </c>
      <c r="C24" s="36" t="s">
        <v>41</v>
      </c>
      <c r="D24" s="62">
        <v>3</v>
      </c>
      <c r="E24" s="36" t="s">
        <v>43</v>
      </c>
      <c r="F24" s="62">
        <v>4</v>
      </c>
      <c r="G24" s="37" t="s">
        <v>57</v>
      </c>
      <c r="H24" s="38" t="s">
        <v>59</v>
      </c>
      <c r="I24" s="39">
        <v>2</v>
      </c>
      <c r="J24" s="39">
        <v>2</v>
      </c>
      <c r="O24" s="40">
        <f>LOOKUP(E24,M1:M5,N1:N5)</f>
        <v>2</v>
      </c>
      <c r="P24" s="43">
        <f t="shared" si="4"/>
        <v>-1</v>
      </c>
      <c r="Q24" s="49">
        <f t="shared" si="5"/>
        <v>1</v>
      </c>
    </row>
    <row r="25" spans="1:17" s="40" customFormat="1" x14ac:dyDescent="0.25">
      <c r="A25" s="34">
        <v>25</v>
      </c>
      <c r="B25" s="35">
        <v>45633</v>
      </c>
      <c r="C25" s="36" t="s">
        <v>34</v>
      </c>
      <c r="D25" s="62">
        <v>14</v>
      </c>
      <c r="E25" s="36" t="s">
        <v>58</v>
      </c>
      <c r="F25" s="62">
        <v>2</v>
      </c>
      <c r="G25" s="37"/>
      <c r="H25" s="38" t="s">
        <v>47</v>
      </c>
      <c r="I25" s="39">
        <v>7</v>
      </c>
      <c r="J25" s="39">
        <v>7</v>
      </c>
      <c r="P25" s="43">
        <f t="shared" si="4"/>
        <v>12</v>
      </c>
      <c r="Q25" s="49">
        <f t="shared" si="5"/>
        <v>12</v>
      </c>
    </row>
    <row r="26" spans="1:17" s="40" customFormat="1" x14ac:dyDescent="0.25">
      <c r="A26" s="34">
        <v>12</v>
      </c>
      <c r="B26" s="35">
        <v>45638</v>
      </c>
      <c r="C26" s="36" t="s">
        <v>43</v>
      </c>
      <c r="D26" s="62">
        <v>6</v>
      </c>
      <c r="E26" s="36" t="s">
        <v>58</v>
      </c>
      <c r="F26" s="62">
        <v>9</v>
      </c>
      <c r="G26" s="37"/>
      <c r="H26" s="38" t="s">
        <v>60</v>
      </c>
      <c r="I26" s="39">
        <v>7</v>
      </c>
      <c r="J26" s="39">
        <v>7</v>
      </c>
      <c r="P26" s="43">
        <f t="shared" si="4"/>
        <v>-3</v>
      </c>
      <c r="Q26" s="49">
        <f t="shared" si="5"/>
        <v>3</v>
      </c>
    </row>
    <row r="27" spans="1:17" s="40" customFormat="1" x14ac:dyDescent="0.25">
      <c r="A27" s="34">
        <v>26</v>
      </c>
      <c r="B27" s="35">
        <v>45640</v>
      </c>
      <c r="C27" s="36" t="s">
        <v>58</v>
      </c>
      <c r="D27" s="62">
        <v>6</v>
      </c>
      <c r="E27" s="36" t="s">
        <v>41</v>
      </c>
      <c r="F27" s="62">
        <v>7</v>
      </c>
      <c r="G27" s="37"/>
      <c r="H27" s="38" t="s">
        <v>54</v>
      </c>
      <c r="I27" s="39">
        <v>5</v>
      </c>
      <c r="J27" s="39">
        <v>5</v>
      </c>
      <c r="P27" s="43">
        <f t="shared" si="4"/>
        <v>-1</v>
      </c>
      <c r="Q27" s="49">
        <f t="shared" si="5"/>
        <v>1</v>
      </c>
    </row>
    <row r="28" spans="1:17" s="40" customFormat="1" x14ac:dyDescent="0.25">
      <c r="A28" s="34">
        <v>27</v>
      </c>
      <c r="B28" s="35">
        <v>45675</v>
      </c>
      <c r="C28" s="36" t="s">
        <v>41</v>
      </c>
      <c r="D28" s="62">
        <v>13</v>
      </c>
      <c r="E28" s="36" t="s">
        <v>58</v>
      </c>
      <c r="F28" s="62">
        <v>8</v>
      </c>
      <c r="G28" s="37"/>
      <c r="H28" s="38" t="s">
        <v>53</v>
      </c>
      <c r="I28" s="39">
        <v>7</v>
      </c>
      <c r="J28" s="39">
        <v>7</v>
      </c>
      <c r="P28" s="43">
        <f t="shared" si="4"/>
        <v>5</v>
      </c>
      <c r="Q28" s="49">
        <f t="shared" si="5"/>
        <v>5</v>
      </c>
    </row>
    <row r="29" spans="1:17" s="40" customFormat="1" x14ac:dyDescent="0.25">
      <c r="A29" s="34">
        <v>29</v>
      </c>
      <c r="B29" s="35">
        <v>45681</v>
      </c>
      <c r="C29" s="36" t="s">
        <v>41</v>
      </c>
      <c r="D29" s="62">
        <v>1</v>
      </c>
      <c r="E29" s="36" t="s">
        <v>40</v>
      </c>
      <c r="F29" s="62">
        <v>4</v>
      </c>
      <c r="G29" s="37"/>
      <c r="H29" s="38" t="s">
        <v>51</v>
      </c>
      <c r="I29" s="39">
        <v>6</v>
      </c>
      <c r="J29" s="39">
        <v>6</v>
      </c>
      <c r="P29" s="43">
        <f t="shared" si="4"/>
        <v>-3</v>
      </c>
      <c r="Q29" s="49">
        <f t="shared" si="5"/>
        <v>3</v>
      </c>
    </row>
    <row r="30" spans="1:17" s="40" customFormat="1" x14ac:dyDescent="0.25">
      <c r="A30" s="34">
        <v>30</v>
      </c>
      <c r="B30" s="35">
        <v>45682</v>
      </c>
      <c r="C30" s="36" t="s">
        <v>58</v>
      </c>
      <c r="D30" s="62">
        <v>2</v>
      </c>
      <c r="E30" s="36" t="s">
        <v>38</v>
      </c>
      <c r="F30" s="62">
        <v>12</v>
      </c>
      <c r="G30" s="37"/>
      <c r="H30" s="38" t="s">
        <v>44</v>
      </c>
      <c r="I30" s="39">
        <v>4</v>
      </c>
      <c r="J30" s="39">
        <v>4</v>
      </c>
      <c r="P30" s="43">
        <f t="shared" si="4"/>
        <v>-10</v>
      </c>
      <c r="Q30" s="49">
        <f t="shared" si="5"/>
        <v>10</v>
      </c>
    </row>
    <row r="31" spans="1:17" s="40" customFormat="1" x14ac:dyDescent="0.25">
      <c r="A31" s="34">
        <v>31</v>
      </c>
      <c r="B31" s="35">
        <v>45682</v>
      </c>
      <c r="C31" s="36" t="s">
        <v>43</v>
      </c>
      <c r="D31" s="62">
        <v>3</v>
      </c>
      <c r="E31" s="36" t="s">
        <v>41</v>
      </c>
      <c r="F31" s="62">
        <v>5</v>
      </c>
      <c r="G31" s="37"/>
      <c r="H31" s="38" t="s">
        <v>54</v>
      </c>
      <c r="I31" s="39">
        <v>5</v>
      </c>
      <c r="J31" s="39">
        <v>5</v>
      </c>
      <c r="P31" s="43">
        <f t="shared" si="4"/>
        <v>-2</v>
      </c>
      <c r="Q31" s="49">
        <f t="shared" si="5"/>
        <v>2</v>
      </c>
    </row>
    <row r="32" spans="1:17" s="40" customFormat="1" x14ac:dyDescent="0.25">
      <c r="A32" s="34">
        <v>32</v>
      </c>
      <c r="B32" s="35">
        <v>45683</v>
      </c>
      <c r="C32" s="36" t="s">
        <v>58</v>
      </c>
      <c r="D32" s="62">
        <v>7</v>
      </c>
      <c r="E32" s="36" t="s">
        <v>43</v>
      </c>
      <c r="F32" s="62">
        <v>4</v>
      </c>
      <c r="G32" s="37"/>
      <c r="H32" s="38" t="s">
        <v>61</v>
      </c>
      <c r="I32" s="39">
        <v>2</v>
      </c>
      <c r="J32" s="39">
        <v>2</v>
      </c>
      <c r="P32" s="43">
        <f t="shared" ref="P32:P42" si="6">D32-F32</f>
        <v>3</v>
      </c>
      <c r="Q32" s="49">
        <f t="shared" ref="Q32:Q42" si="7">ABS(P32)</f>
        <v>3</v>
      </c>
    </row>
    <row r="33" spans="1:17" s="40" customFormat="1" x14ac:dyDescent="0.25">
      <c r="A33" s="34">
        <v>33</v>
      </c>
      <c r="B33" s="35">
        <v>45683</v>
      </c>
      <c r="C33" s="36" t="s">
        <v>34</v>
      </c>
      <c r="D33" s="62">
        <v>11</v>
      </c>
      <c r="E33" s="36" t="s">
        <v>38</v>
      </c>
      <c r="F33" s="62">
        <v>0</v>
      </c>
      <c r="G33" s="37"/>
      <c r="H33" s="38" t="s">
        <v>47</v>
      </c>
      <c r="I33" s="39">
        <v>4</v>
      </c>
      <c r="J33" s="39">
        <v>4</v>
      </c>
      <c r="P33" s="43">
        <f t="shared" si="6"/>
        <v>11</v>
      </c>
      <c r="Q33" s="49">
        <f t="shared" si="7"/>
        <v>11</v>
      </c>
    </row>
    <row r="34" spans="1:17" s="40" customFormat="1" x14ac:dyDescent="0.25">
      <c r="A34" s="34">
        <v>17</v>
      </c>
      <c r="B34" s="35">
        <v>45689</v>
      </c>
      <c r="C34" s="36" t="s">
        <v>41</v>
      </c>
      <c r="D34" s="62">
        <v>2</v>
      </c>
      <c r="E34" s="36" t="s">
        <v>38</v>
      </c>
      <c r="F34" s="62">
        <v>8</v>
      </c>
      <c r="G34" s="37"/>
      <c r="H34" s="38" t="s">
        <v>44</v>
      </c>
      <c r="I34" s="39">
        <v>4</v>
      </c>
      <c r="J34" s="39"/>
      <c r="P34" s="43">
        <f t="shared" si="6"/>
        <v>-6</v>
      </c>
      <c r="Q34" s="49">
        <f t="shared" si="7"/>
        <v>6</v>
      </c>
    </row>
    <row r="35" spans="1:17" s="40" customFormat="1" x14ac:dyDescent="0.25">
      <c r="A35" s="34">
        <v>34</v>
      </c>
      <c r="B35" s="35">
        <v>45689</v>
      </c>
      <c r="C35" s="36" t="s">
        <v>58</v>
      </c>
      <c r="D35" s="62">
        <v>4</v>
      </c>
      <c r="E35" s="36" t="s">
        <v>19</v>
      </c>
      <c r="F35" s="62">
        <v>5</v>
      </c>
      <c r="G35" s="37"/>
      <c r="H35" s="38" t="s">
        <v>49</v>
      </c>
      <c r="I35" s="39">
        <v>1</v>
      </c>
      <c r="J35" s="39"/>
      <c r="P35" s="43">
        <f t="shared" si="6"/>
        <v>-1</v>
      </c>
      <c r="Q35" s="49">
        <f t="shared" si="7"/>
        <v>1</v>
      </c>
    </row>
    <row r="36" spans="1:17" s="40" customFormat="1" x14ac:dyDescent="0.25">
      <c r="A36" s="34">
        <v>35</v>
      </c>
      <c r="B36" s="35">
        <v>45690</v>
      </c>
      <c r="C36" s="36" t="s">
        <v>40</v>
      </c>
      <c r="D36" s="62">
        <v>1</v>
      </c>
      <c r="E36" s="36" t="s">
        <v>34</v>
      </c>
      <c r="F36" s="62">
        <v>7</v>
      </c>
      <c r="G36" s="37"/>
      <c r="H36" s="38" t="s">
        <v>50</v>
      </c>
      <c r="I36" s="39">
        <v>3</v>
      </c>
      <c r="J36" s="39"/>
      <c r="P36" s="43">
        <f t="shared" si="6"/>
        <v>-6</v>
      </c>
      <c r="Q36" s="49">
        <f t="shared" si="7"/>
        <v>6</v>
      </c>
    </row>
    <row r="37" spans="1:17" s="40" customFormat="1" x14ac:dyDescent="0.25">
      <c r="A37" s="34">
        <v>36</v>
      </c>
      <c r="B37" s="35">
        <v>45690</v>
      </c>
      <c r="C37" s="36" t="s">
        <v>19</v>
      </c>
      <c r="D37" s="62">
        <v>0</v>
      </c>
      <c r="E37" s="36" t="s">
        <v>38</v>
      </c>
      <c r="F37" s="62">
        <v>8</v>
      </c>
      <c r="G37" s="37"/>
      <c r="H37" s="38" t="s">
        <v>44</v>
      </c>
      <c r="I37" s="39">
        <v>4</v>
      </c>
      <c r="J37" s="39"/>
      <c r="P37" s="43">
        <f t="shared" si="6"/>
        <v>-8</v>
      </c>
      <c r="Q37" s="49">
        <f t="shared" si="7"/>
        <v>8</v>
      </c>
    </row>
    <row r="38" spans="1:17" s="40" customFormat="1" x14ac:dyDescent="0.25">
      <c r="A38" s="34">
        <v>37</v>
      </c>
      <c r="B38" s="35">
        <v>45695</v>
      </c>
      <c r="C38" s="36" t="s">
        <v>34</v>
      </c>
      <c r="D38" s="62">
        <v>12</v>
      </c>
      <c r="E38" s="36" t="s">
        <v>43</v>
      </c>
      <c r="F38" s="62">
        <v>2</v>
      </c>
      <c r="G38" s="37"/>
      <c r="H38" s="38" t="s">
        <v>47</v>
      </c>
      <c r="I38" s="39">
        <v>2</v>
      </c>
      <c r="J38" s="39"/>
      <c r="P38" s="43">
        <f t="shared" si="6"/>
        <v>10</v>
      </c>
      <c r="Q38" s="49">
        <f t="shared" si="7"/>
        <v>10</v>
      </c>
    </row>
    <row r="39" spans="1:17" s="40" customFormat="1" x14ac:dyDescent="0.25">
      <c r="A39" s="34">
        <v>38</v>
      </c>
      <c r="B39" s="35">
        <v>45695</v>
      </c>
      <c r="C39" s="36" t="s">
        <v>38</v>
      </c>
      <c r="D39" s="62">
        <v>9</v>
      </c>
      <c r="E39" s="36" t="s">
        <v>41</v>
      </c>
      <c r="F39" s="62">
        <v>3</v>
      </c>
      <c r="G39" s="37"/>
      <c r="H39" s="38" t="s">
        <v>46</v>
      </c>
      <c r="I39" s="39">
        <v>5</v>
      </c>
      <c r="J39" s="39"/>
      <c r="P39" s="43">
        <f t="shared" si="6"/>
        <v>6</v>
      </c>
      <c r="Q39" s="49">
        <f t="shared" si="7"/>
        <v>6</v>
      </c>
    </row>
    <row r="40" spans="1:17" s="40" customFormat="1" x14ac:dyDescent="0.25">
      <c r="A40" s="34">
        <v>39</v>
      </c>
      <c r="B40" s="35">
        <v>45699</v>
      </c>
      <c r="C40" s="36" t="s">
        <v>19</v>
      </c>
      <c r="D40" s="62">
        <v>4</v>
      </c>
      <c r="E40" s="36" t="s">
        <v>41</v>
      </c>
      <c r="F40" s="62">
        <v>2</v>
      </c>
      <c r="G40" s="37"/>
      <c r="H40" s="38" t="s">
        <v>63</v>
      </c>
      <c r="I40" s="39">
        <v>5</v>
      </c>
      <c r="J40" s="39"/>
      <c r="P40" s="43">
        <f t="shared" si="6"/>
        <v>2</v>
      </c>
      <c r="Q40" s="49">
        <f t="shared" si="7"/>
        <v>2</v>
      </c>
    </row>
    <row r="41" spans="1:17" s="40" customFormat="1" x14ac:dyDescent="0.25">
      <c r="A41" s="34">
        <v>28</v>
      </c>
      <c r="B41" s="35">
        <v>45702</v>
      </c>
      <c r="C41" s="36" t="s">
        <v>41</v>
      </c>
      <c r="D41" s="62">
        <v>1</v>
      </c>
      <c r="E41" s="36" t="s">
        <v>34</v>
      </c>
      <c r="F41" s="62">
        <v>9</v>
      </c>
      <c r="G41" s="37"/>
      <c r="H41" s="38" t="s">
        <v>50</v>
      </c>
      <c r="I41" s="39">
        <v>3</v>
      </c>
      <c r="J41" s="39"/>
      <c r="P41" s="43">
        <f t="shared" si="6"/>
        <v>-8</v>
      </c>
      <c r="Q41" s="49">
        <f t="shared" si="7"/>
        <v>8</v>
      </c>
    </row>
    <row r="42" spans="1:17" s="40" customFormat="1" x14ac:dyDescent="0.25">
      <c r="A42" s="34">
        <v>40</v>
      </c>
      <c r="B42" s="35">
        <v>45706</v>
      </c>
      <c r="C42" s="36" t="s">
        <v>38</v>
      </c>
      <c r="D42" s="62">
        <v>6</v>
      </c>
      <c r="E42" s="36" t="s">
        <v>43</v>
      </c>
      <c r="F42" s="62">
        <v>3</v>
      </c>
      <c r="G42" s="37"/>
      <c r="H42" s="38" t="s">
        <v>46</v>
      </c>
      <c r="I42" s="39">
        <v>2</v>
      </c>
      <c r="J42" s="39"/>
      <c r="P42" s="43">
        <f t="shared" si="6"/>
        <v>3</v>
      </c>
      <c r="Q42" s="49">
        <f t="shared" si="7"/>
        <v>3</v>
      </c>
    </row>
    <row r="43" spans="1:17" s="40" customFormat="1" x14ac:dyDescent="0.25">
      <c r="A43" s="34">
        <v>41</v>
      </c>
      <c r="B43" s="35">
        <v>45706</v>
      </c>
      <c r="C43" s="36" t="s">
        <v>34</v>
      </c>
      <c r="D43" s="62">
        <v>6</v>
      </c>
      <c r="E43" s="36" t="s">
        <v>19</v>
      </c>
      <c r="F43" s="62">
        <v>2</v>
      </c>
      <c r="G43" s="37"/>
      <c r="H43" s="38" t="s">
        <v>47</v>
      </c>
      <c r="I43" s="39">
        <v>1</v>
      </c>
      <c r="J43" s="39"/>
      <c r="P43" s="43">
        <f t="shared" ref="P43:P44" si="8">D43-F43</f>
        <v>4</v>
      </c>
      <c r="Q43" s="49">
        <f t="shared" ref="Q43:Q44" si="9">ABS(P43)</f>
        <v>4</v>
      </c>
    </row>
    <row r="44" spans="1:17" s="40" customFormat="1" x14ac:dyDescent="0.25">
      <c r="A44" s="34">
        <v>42</v>
      </c>
      <c r="B44" s="35">
        <v>45704</v>
      </c>
      <c r="C44" s="36" t="s">
        <v>19</v>
      </c>
      <c r="D44" s="62">
        <v>13</v>
      </c>
      <c r="E44" s="36" t="s">
        <v>58</v>
      </c>
      <c r="F44" s="62">
        <v>4</v>
      </c>
      <c r="G44" s="37"/>
      <c r="H44" s="38" t="s">
        <v>63</v>
      </c>
      <c r="I44" s="39">
        <v>7</v>
      </c>
      <c r="J44" s="39"/>
      <c r="P44" s="43">
        <f t="shared" si="8"/>
        <v>9</v>
      </c>
      <c r="Q44" s="49">
        <f t="shared" si="9"/>
        <v>9</v>
      </c>
    </row>
    <row r="45" spans="1:17" s="40" customFormat="1" ht="15.75" thickBot="1" x14ac:dyDescent="0.3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25">
      <c r="A46" s="103" t="s">
        <v>55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25">
      <c r="A47" s="34" t="s">
        <v>28</v>
      </c>
      <c r="B47" s="35">
        <v>45710</v>
      </c>
      <c r="C47" s="36" t="s">
        <v>40</v>
      </c>
      <c r="D47" s="62">
        <v>2</v>
      </c>
      <c r="E47" s="36" t="s">
        <v>34</v>
      </c>
      <c r="F47" s="62">
        <v>4</v>
      </c>
      <c r="G47" s="37"/>
      <c r="H47" s="38"/>
      <c r="I47" s="39"/>
      <c r="J47" s="39"/>
    </row>
    <row r="48" spans="1:17" s="40" customFormat="1" x14ac:dyDescent="0.25">
      <c r="A48" s="34" t="s">
        <v>29</v>
      </c>
      <c r="B48" s="35">
        <v>45710</v>
      </c>
      <c r="C48" s="36" t="s">
        <v>19</v>
      </c>
      <c r="D48" s="62">
        <v>1</v>
      </c>
      <c r="E48" s="36" t="s">
        <v>38</v>
      </c>
      <c r="F48" s="62">
        <v>6</v>
      </c>
      <c r="G48" s="37"/>
      <c r="H48" s="38"/>
      <c r="I48" s="39"/>
      <c r="J48" s="39"/>
    </row>
    <row r="49" spans="1:10" s="40" customFormat="1" ht="15.75" thickBot="1" x14ac:dyDescent="0.3">
      <c r="A49" s="52" t="s">
        <v>30</v>
      </c>
      <c r="B49" s="53">
        <v>45711</v>
      </c>
      <c r="C49" s="54" t="s">
        <v>38</v>
      </c>
      <c r="D49" s="63">
        <v>2</v>
      </c>
      <c r="E49" s="54" t="s">
        <v>34</v>
      </c>
      <c r="F49" s="63">
        <v>13</v>
      </c>
      <c r="G49" s="55"/>
      <c r="H49" s="38"/>
      <c r="I49" s="39"/>
      <c r="J49" s="39"/>
    </row>
    <row r="50" spans="1:10" x14ac:dyDescent="0.25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25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25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25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25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25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25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25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25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25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25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25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25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25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25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25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25">
      <c r="C81" s="21"/>
      <c r="D81" s="65"/>
      <c r="E81" s="21"/>
      <c r="F81" s="65"/>
    </row>
    <row r="82" spans="3:8" x14ac:dyDescent="0.25">
      <c r="H82">
        <f>D83+F83</f>
        <v>453</v>
      </c>
    </row>
    <row r="83" spans="3:8" x14ac:dyDescent="0.25">
      <c r="D83" s="61">
        <f>SUM(D3:D81)</f>
        <v>222</v>
      </c>
      <c r="F83" s="61">
        <f>SUM(F3:F81)</f>
        <v>231</v>
      </c>
    </row>
  </sheetData>
  <sortState xmlns:xlrd2="http://schemas.microsoft.com/office/spreadsheetml/2017/richdata2" ref="A43:U44">
    <sortCondition ref="B43:B4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2025-02-25T00:09:11Z</dcterms:modified>
</cp:coreProperties>
</file>