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781" documentId="8_{BD64B71C-ECF1-45AA-8C6F-5AC0621DFFC8}" xr6:coauthVersionLast="45" xr6:coauthVersionMax="45" xr10:uidLastSave="{437788A1-69BF-4012-B1BB-8E4D4CC18028}"/>
  <bookViews>
    <workbookView xWindow="-108" yWindow="-108" windowWidth="23256" windowHeight="12576" activeTab="1" xr2:uid="{00000000-000D-0000-FFFF-FFFF00000000}"/>
  </bookViews>
  <sheets>
    <sheet name="Standings" sheetId="2" r:id="rId1"/>
    <sheet name="Old Results" sheetId="1" r:id="rId2"/>
    <sheet name="Sheet1" sheetId="4" r:id="rId3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1" i="1" l="1"/>
  <c r="T2" i="1"/>
  <c r="T7" i="1"/>
  <c r="T6" i="1"/>
  <c r="T5" i="1"/>
  <c r="T4" i="1"/>
  <c r="T3" i="1"/>
  <c r="Q38" i="1"/>
  <c r="Q3" i="1"/>
  <c r="P44" i="1" l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P7" i="1"/>
  <c r="Q7" i="1" s="1"/>
  <c r="P6" i="1"/>
  <c r="Q6" i="1" s="1"/>
  <c r="P5" i="1"/>
  <c r="Q5" i="1" s="1"/>
  <c r="P4" i="1"/>
  <c r="Q4" i="1" s="1"/>
  <c r="P3" i="1"/>
  <c r="U4" i="1" l="1"/>
  <c r="O27" i="1"/>
  <c r="N26" i="1"/>
  <c r="J14" i="2"/>
  <c r="I14" i="2"/>
  <c r="F83" i="1"/>
  <c r="D83" i="1"/>
  <c r="U7" i="1" l="1"/>
  <c r="U6" i="1"/>
  <c r="U5" i="1"/>
  <c r="U3" i="1"/>
  <c r="H82" i="1"/>
  <c r="U8" i="1" l="1"/>
</calcChain>
</file>

<file path=xl/sharedStrings.xml><?xml version="1.0" encoding="utf-8"?>
<sst xmlns="http://schemas.openxmlformats.org/spreadsheetml/2006/main" count="317" uniqueCount="80">
  <si>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</si>
  <si>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</si>
  <si>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</si>
  <si>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</si>
  <si>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</si>
  <si>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</si>
  <si>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</si>
  <si>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</si>
  <si>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</si>
  <si>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</si>
  <si>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</si>
  <si>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</si>
  <si>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</si>
  <si>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</si>
  <si>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</si>
  <si>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</si>
  <si>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</si>
  <si>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</si>
  <si>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</si>
  <si>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</si>
  <si>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</si>
  <si>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</si>
  <si>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</si>
  <si>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</si>
  <si>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</si>
  <si>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</si>
  <si>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</si>
  <si>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</si>
  <si>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</si>
  <si>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</si>
  <si>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</si>
  <si>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</si>
  <si>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</si>
  <si>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</si>
  <si>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</si>
  <si>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</si>
  <si>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</si>
  <si>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</si>
  <si>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</si>
  <si>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</si>
  <si>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</si>
  <si>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</si>
  <si>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</si>
  <si>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</si>
  <si>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</si>
  <si>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</si>
  <si>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</si>
  <si>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</si>
  <si>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**</t>
  </si>
  <si>
    <t>*</t>
  </si>
  <si>
    <t>St. Thomas in OT/SO</t>
  </si>
  <si>
    <t>Stevens in OT/SO</t>
  </si>
  <si>
    <t>Columbia in OT/SO</t>
  </si>
  <si>
    <t>St. Thomas (Away) Wins</t>
  </si>
  <si>
    <t>Columbia (Away) Wins</t>
  </si>
  <si>
    <t>Maritime (Away) Wins</t>
  </si>
  <si>
    <t>Columbia (Home) Wins</t>
  </si>
  <si>
    <t>St. Thomas (Home) Wins</t>
  </si>
  <si>
    <t>Stevens (Away) Wins</t>
  </si>
  <si>
    <t>Suffolk in OT/SO</t>
  </si>
  <si>
    <t>Maritime (Home) Wins</t>
  </si>
  <si>
    <t>Suffolk (Home) Wins</t>
  </si>
  <si>
    <t>Western CT (Away) Wins</t>
  </si>
  <si>
    <t>Kings Point (Away) Wins</t>
  </si>
  <si>
    <t>Western CT (Home) Wins</t>
  </si>
  <si>
    <t>Suffolk (Away) Wins</t>
  </si>
  <si>
    <t>Kings Point (Home) Wins</t>
  </si>
  <si>
    <t>Kings Point in OT/SO</t>
  </si>
  <si>
    <t>***</t>
  </si>
  <si>
    <t>Kings Point by Forfeit</t>
  </si>
  <si>
    <t>Goal Diff</t>
  </si>
  <si>
    <t>ABS</t>
  </si>
  <si>
    <t>5+</t>
  </si>
  <si>
    <t>Goal Differential</t>
  </si>
  <si>
    <t>S1</t>
  </si>
  <si>
    <t>S2</t>
  </si>
  <si>
    <t>CH</t>
  </si>
  <si>
    <t>2019-20 MCHC Playoffs</t>
  </si>
  <si>
    <t>Total Games Scheduled:</t>
  </si>
  <si>
    <t>Games Played: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</si>
</sst>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b/>
      <sz val="10"/>
      <color theme="3" tint="-0.249977111117893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</fills>
  <borders count="2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0" fillId="0" borderId="5" xfId="0" applyBorder="1"/>
    <xf numFmtId="0" fontId="0" fillId="0" borderId="0" xfId="0" applyFill="1" applyBorder="1" applyAlignment="1">
      <alignment horizont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vertical="center"/>
    </xf>
    <xf numFmtId="1" fontId="11" fillId="0" borderId="7" xfId="0" applyNumberFormat="1" applyFont="1" applyBorder="1" applyAlignment="1">
      <alignment horizontal="center" vertical="center"/>
    </xf>
    <xf numFmtId="1" fontId="11" fillId="0" borderId="8" xfId="0" applyNumberFormat="1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1" fontId="11" fillId="0" borderId="10" xfId="0" applyNumberFormat="1" applyFont="1" applyBorder="1" applyAlignment="1">
      <alignment horizontal="center" vertical="center"/>
    </xf>
    <xf numFmtId="1" fontId="11" fillId="0" borderId="1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/>
    </xf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11" fillId="0" borderId="12" xfId="0" applyFont="1" applyBorder="1" applyAlignment="1">
      <alignment horizontal="center" vertical="center"/>
    </xf>
    <xf numFmtId="1" fontId="11" fillId="0" borderId="13" xfId="0" applyNumberFormat="1" applyFont="1" applyBorder="1" applyAlignment="1">
      <alignment horizontal="center" vertical="center"/>
    </xf>
    <xf numFmtId="1" fontId="11" fillId="0" borderId="14" xfId="0" applyNumberFormat="1" applyFont="1" applyBorder="1" applyAlignment="1">
      <alignment horizontal="center" vertical="center"/>
    </xf>
    <xf numFmtId="0" fontId="0" fillId="0" borderId="21" xfId="0" applyBorder="1"/>
    <xf numFmtId="0" fontId="0" fillId="0" borderId="0" xfId="0" applyBorder="1"/>
    <xf numFmtId="9" fontId="0" fillId="0" borderId="0" xfId="0" applyNumberFormat="1" applyBorder="1"/>
    <xf numFmtId="0" fontId="0" fillId="0" borderId="24" xfId="0" applyBorder="1"/>
    <xf numFmtId="10" fontId="0" fillId="0" borderId="0" xfId="1" applyNumberFormat="1" applyFont="1" applyBorder="1"/>
    <xf numFmtId="10" fontId="0" fillId="0" borderId="22" xfId="1" applyNumberFormat="1" applyFont="1" applyBorder="1"/>
    <xf numFmtId="0" fontId="0" fillId="0" borderId="21" xfId="0" applyFill="1" applyBorder="1"/>
    <xf numFmtId="0" fontId="0" fillId="0" borderId="23" xfId="0" quotePrefix="1" applyFill="1" applyBorder="1" applyAlignment="1">
      <alignment horizontal="right"/>
    </xf>
    <xf numFmtId="10" fontId="0" fillId="0" borderId="25" xfId="1" applyNumberFormat="1" applyFont="1" applyBorder="1"/>
    <xf numFmtId="0" fontId="0" fillId="0" borderId="9" xfId="0" applyBorder="1"/>
    <xf numFmtId="0" fontId="0" fillId="0" borderId="26" xfId="0" applyBorder="1"/>
    <xf numFmtId="0" fontId="0" fillId="0" borderId="27" xfId="0" applyBorder="1"/>
    <xf numFmtId="0" fontId="0" fillId="0" borderId="12" xfId="0" applyBorder="1"/>
    <xf numFmtId="0" fontId="0" fillId="0" borderId="14" xfId="0" applyBorder="1"/>
    <xf numFmtId="0" fontId="0" fillId="0" borderId="10" xfId="0" applyBorder="1"/>
    <xf numFmtId="0" fontId="13" fillId="3" borderId="19" xfId="0" applyFont="1" applyFill="1" applyBorder="1"/>
    <xf numFmtId="0" fontId="13" fillId="3" borderId="20" xfId="0" applyFont="1" applyFill="1" applyBorder="1"/>
    <xf numFmtId="0" fontId="13" fillId="3" borderId="24" xfId="0" applyFont="1" applyFill="1" applyBorder="1"/>
    <xf numFmtId="0" fontId="13" fillId="3" borderId="25" xfId="0" applyFont="1" applyFill="1" applyBorder="1"/>
    <xf numFmtId="0" fontId="13" fillId="3" borderId="1" xfId="0" applyFont="1" applyFill="1" applyBorder="1" applyAlignment="1">
      <alignment horizontal="center"/>
    </xf>
    <xf numFmtId="165" fontId="13" fillId="3" borderId="1" xfId="0" applyNumberFormat="1" applyFont="1" applyFill="1" applyBorder="1" applyAlignment="1">
      <alignment horizontal="center"/>
    </xf>
    <xf numFmtId="0" fontId="13" fillId="3" borderId="1" xfId="0" applyFont="1" applyFill="1" applyBorder="1"/>
    <xf numFmtId="0" fontId="14" fillId="3" borderId="15" xfId="0" applyFont="1" applyFill="1" applyBorder="1" applyAlignment="1">
      <alignment horizontal="center"/>
    </xf>
    <xf numFmtId="0" fontId="14" fillId="3" borderId="16" xfId="0" applyFont="1" applyFill="1" applyBorder="1"/>
    <xf numFmtId="0" fontId="14" fillId="3" borderId="16" xfId="0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15" fillId="0" borderId="13" xfId="2" applyFont="1" applyBorder="1" applyAlignment="1">
      <alignment vertical="center"/>
    </xf>
    <xf numFmtId="0" fontId="15" fillId="0" borderId="7" xfId="2" applyFont="1" applyBorder="1" applyAlignment="1">
      <alignment vertical="center"/>
    </xf>
    <xf numFmtId="0" fontId="15" fillId="0" borderId="10" xfId="2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13" fillId="3" borderId="18" xfId="0" applyFont="1" applyFill="1" applyBorder="1" applyAlignment="1">
      <alignment horizontal="right"/>
    </xf>
    <xf numFmtId="0" fontId="13" fillId="3" borderId="19" xfId="0" applyFont="1" applyFill="1" applyBorder="1" applyAlignment="1">
      <alignment horizontal="right"/>
    </xf>
    <xf numFmtId="0" fontId="13" fillId="3" borderId="23" xfId="0" applyFont="1" applyFill="1" applyBorder="1" applyAlignment="1">
      <alignment horizontal="right"/>
    </xf>
    <xf numFmtId="0" fontId="13" fillId="3" borderId="24" xfId="0" applyFont="1" applyFill="1" applyBorder="1" applyAlignment="1">
      <alignment horizontal="right"/>
    </xf>
    <xf numFmtId="0" fontId="14" fillId="3" borderId="15" xfId="0" applyFont="1" applyFill="1" applyBorder="1" applyAlignment="1">
      <alignment horizontal="center"/>
    </xf>
    <xf numFmtId="0" fontId="14" fillId="3" borderId="16" xfId="0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7" fillId="3" borderId="1" xfId="0" applyFont="1" applyFill="1" applyBorder="1" applyAlignment="1">
      <alignment horizontal="center"/>
    </xf>
    <xf numFmtId="0" fontId="18" fillId="0" borderId="1" xfId="2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20" fillId="0" borderId="4" xfId="0" applyFont="1" applyBorder="1" applyAlignment="1">
      <alignment horizontal="center" vertical="center" wrapText="1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12</xdr:row>
      <xdr:rowOff>38100</xdr:rowOff>
    </xdr:from>
    <xdr:to>
      <xdr:col>15</xdr:col>
      <xdr:colOff>0</xdr:colOff>
      <xdr:row>12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14</xdr:row>
      <xdr:rowOff>0</xdr:rowOff>
    </xdr:from>
    <xdr:to>
      <xdr:col>15</xdr:col>
      <xdr:colOff>0</xdr:colOff>
      <xdr:row>15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www.methockey.com/members/suffolk-county-community-college.shtml" TargetMode="External"/><Relationship Id="rId7" Type="http://schemas.openxmlformats.org/officeDocument/2006/relationships/hyperlink" Target="http://www.methockey.com/members/western-connecticut-state-university.shtml" TargetMode="External"/><Relationship Id="rId2" Type="http://schemas.openxmlformats.org/officeDocument/2006/relationships/hyperlink" Target="http://www.methockey.com/members/st-thomas-aquinas-college.shtml" TargetMode="External"/><Relationship Id="rId1" Type="http://schemas.openxmlformats.org/officeDocument/2006/relationships/hyperlink" Target="http://www.methockey.com/members/columbia-university.shtml" TargetMode="External"/><Relationship Id="rId6" Type="http://schemas.openxmlformats.org/officeDocument/2006/relationships/hyperlink" Target="http://www.methockey.com/members/maritime-college.shtml" TargetMode="External"/><Relationship Id="rId5" Type="http://schemas.openxmlformats.org/officeDocument/2006/relationships/hyperlink" Target="http://www.methockey.com/members/stevens-institute-of-technology.shtml" TargetMode="External"/><Relationship Id="rId4" Type="http://schemas.openxmlformats.org/officeDocument/2006/relationships/hyperlink" Target="http://www.methockey.com/members/united-states-merchant-marine-academy-at-kings-point.shtml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www.methockey.com/members/st-thomas-aquinas-college.shtml" TargetMode="External"/><Relationship Id="rId21" Type="http://schemas.openxmlformats.org/officeDocument/2006/relationships/hyperlink" Target="http://www.methockey.com/members/maritime-college.shtml" TargetMode="External"/><Relationship Id="rId42" Type="http://schemas.openxmlformats.org/officeDocument/2006/relationships/hyperlink" Target="http://www.methockey.com/members/suffolk-county-community-college.shtml" TargetMode="External"/><Relationship Id="rId47" Type="http://schemas.openxmlformats.org/officeDocument/2006/relationships/hyperlink" Target="http://www.methockey.com/members/suffolk-county-community-college.shtml" TargetMode="External"/><Relationship Id="rId63" Type="http://schemas.openxmlformats.org/officeDocument/2006/relationships/hyperlink" Target="http://www.methockey.com/members/western-connecticut-state-university.shtml" TargetMode="External"/><Relationship Id="rId68" Type="http://schemas.openxmlformats.org/officeDocument/2006/relationships/hyperlink" Target="http://www.methockey.com/members/western-connecticut-state-university.shtml" TargetMode="External"/><Relationship Id="rId84" Type="http://schemas.openxmlformats.org/officeDocument/2006/relationships/hyperlink" Target="http://www.methockey.com/members/united-states-merchant-marine-academy-at-kings-point.shtml" TargetMode="External"/><Relationship Id="rId89" Type="http://schemas.openxmlformats.org/officeDocument/2006/relationships/hyperlink" Target="http://www.methockey.com/members/suffolk-county-community-college.shtml" TargetMode="External"/><Relationship Id="rId16" Type="http://schemas.openxmlformats.org/officeDocument/2006/relationships/hyperlink" Target="http://www.methockey.com/members/maritime-college.shtml" TargetMode="External"/><Relationship Id="rId11" Type="http://schemas.openxmlformats.org/officeDocument/2006/relationships/hyperlink" Target="http://www.methockey.com/members/columbia-university.shtml" TargetMode="External"/><Relationship Id="rId32" Type="http://schemas.openxmlformats.org/officeDocument/2006/relationships/hyperlink" Target="http://www.methockey.com/members/st-thomas-aquinas-college.shtml" TargetMode="External"/><Relationship Id="rId37" Type="http://schemas.openxmlformats.org/officeDocument/2006/relationships/hyperlink" Target="http://www.methockey.com/members/st-thomas-aquinas-college.shtml" TargetMode="External"/><Relationship Id="rId53" Type="http://schemas.openxmlformats.org/officeDocument/2006/relationships/hyperlink" Target="http://www.methockey.com/members/stevens-institute-of-technology.shtml" TargetMode="External"/><Relationship Id="rId58" Type="http://schemas.openxmlformats.org/officeDocument/2006/relationships/hyperlink" Target="http://www.methockey.com/members/stevens-institute-of-technology.shtml" TargetMode="External"/><Relationship Id="rId74" Type="http://schemas.openxmlformats.org/officeDocument/2006/relationships/hyperlink" Target="http://www.methockey.com/members/united-states-merchant-marine-academy-at-kings-point.shtml" TargetMode="External"/><Relationship Id="rId79" Type="http://schemas.openxmlformats.org/officeDocument/2006/relationships/hyperlink" Target="http://www.methockey.com/members/united-states-merchant-marine-academy-at-kings-point.shtml" TargetMode="External"/><Relationship Id="rId5" Type="http://schemas.openxmlformats.org/officeDocument/2006/relationships/hyperlink" Target="http://www.methockey.com/members/columbia-university.shtml" TargetMode="External"/><Relationship Id="rId90" Type="http://schemas.openxmlformats.org/officeDocument/2006/relationships/hyperlink" Target="http://www.methockey.com/members/st-thomas-aquinas-college.shtml" TargetMode="External"/><Relationship Id="rId14" Type="http://schemas.openxmlformats.org/officeDocument/2006/relationships/hyperlink" Target="http://www.methockey.com/members/maritime-college.shtml" TargetMode="External"/><Relationship Id="rId22" Type="http://schemas.openxmlformats.org/officeDocument/2006/relationships/hyperlink" Target="http://www.methockey.com/members/maritime-college.shtml" TargetMode="External"/><Relationship Id="rId27" Type="http://schemas.openxmlformats.org/officeDocument/2006/relationships/hyperlink" Target="http://www.methockey.com/members/st-thomas-aquinas-college.shtml" TargetMode="External"/><Relationship Id="rId30" Type="http://schemas.openxmlformats.org/officeDocument/2006/relationships/hyperlink" Target="http://www.methockey.com/members/st-thomas-aquinas-college.shtml" TargetMode="External"/><Relationship Id="rId35" Type="http://schemas.openxmlformats.org/officeDocument/2006/relationships/hyperlink" Target="http://www.methockey.com/members/st-thomas-aquinas-college.shtml" TargetMode="External"/><Relationship Id="rId43" Type="http://schemas.openxmlformats.org/officeDocument/2006/relationships/hyperlink" Target="http://www.methockey.com/members/suffolk-county-community-college.shtml" TargetMode="External"/><Relationship Id="rId48" Type="http://schemas.openxmlformats.org/officeDocument/2006/relationships/hyperlink" Target="http://www.methockey.com/members/suffolk-county-community-college.shtml" TargetMode="External"/><Relationship Id="rId56" Type="http://schemas.openxmlformats.org/officeDocument/2006/relationships/hyperlink" Target="http://www.methockey.com/members/stevens-institute-of-technology.shtml" TargetMode="External"/><Relationship Id="rId64" Type="http://schemas.openxmlformats.org/officeDocument/2006/relationships/hyperlink" Target="http://www.methockey.com/members/western-connecticut-state-university.shtml" TargetMode="External"/><Relationship Id="rId69" Type="http://schemas.openxmlformats.org/officeDocument/2006/relationships/hyperlink" Target="http://www.methockey.com/members/western-connecticut-state-university.shtml" TargetMode="External"/><Relationship Id="rId77" Type="http://schemas.openxmlformats.org/officeDocument/2006/relationships/hyperlink" Target="http://www.methockey.com/members/united-states-merchant-marine-academy-at-kings-point.shtml" TargetMode="External"/><Relationship Id="rId8" Type="http://schemas.openxmlformats.org/officeDocument/2006/relationships/hyperlink" Target="http://www.methockey.com/members/columbia-university.shtml" TargetMode="External"/><Relationship Id="rId51" Type="http://schemas.openxmlformats.org/officeDocument/2006/relationships/hyperlink" Target="http://www.methockey.com/members/stevens-institute-of-technology.shtml" TargetMode="External"/><Relationship Id="rId72" Type="http://schemas.openxmlformats.org/officeDocument/2006/relationships/hyperlink" Target="http://www.methockey.com/members/western-connecticut-state-university.shtml" TargetMode="External"/><Relationship Id="rId80" Type="http://schemas.openxmlformats.org/officeDocument/2006/relationships/hyperlink" Target="http://www.methockey.com/members/united-states-merchant-marine-academy-at-kings-point.shtml" TargetMode="External"/><Relationship Id="rId85" Type="http://schemas.openxmlformats.org/officeDocument/2006/relationships/hyperlink" Target="http://www.methockey.com/members/united-states-merchant-marine-academy-at-kings-point.shtml" TargetMode="External"/><Relationship Id="rId3" Type="http://schemas.openxmlformats.org/officeDocument/2006/relationships/hyperlink" Target="http://www.methockey.com/members/columbia-university.shtml" TargetMode="External"/><Relationship Id="rId12" Type="http://schemas.openxmlformats.org/officeDocument/2006/relationships/hyperlink" Target="http://www.methockey.com/members/columbia-university.shtml" TargetMode="External"/><Relationship Id="rId17" Type="http://schemas.openxmlformats.org/officeDocument/2006/relationships/hyperlink" Target="http://www.methockey.com/members/maritime-college.shtml" TargetMode="External"/><Relationship Id="rId25" Type="http://schemas.openxmlformats.org/officeDocument/2006/relationships/hyperlink" Target="http://www.methockey.com/members/maritime-college.shtml" TargetMode="External"/><Relationship Id="rId33" Type="http://schemas.openxmlformats.org/officeDocument/2006/relationships/hyperlink" Target="http://www.methockey.com/members/st-thomas-aquinas-college.shtml" TargetMode="External"/><Relationship Id="rId38" Type="http://schemas.openxmlformats.org/officeDocument/2006/relationships/hyperlink" Target="http://www.methockey.com/members/suffolk-county-community-college.shtml" TargetMode="External"/><Relationship Id="rId46" Type="http://schemas.openxmlformats.org/officeDocument/2006/relationships/hyperlink" Target="http://www.methockey.com/members/suffolk-county-community-college.shtml" TargetMode="External"/><Relationship Id="rId59" Type="http://schemas.openxmlformats.org/officeDocument/2006/relationships/hyperlink" Target="http://www.methockey.com/members/stevens-institute-of-technology.shtml" TargetMode="External"/><Relationship Id="rId67" Type="http://schemas.openxmlformats.org/officeDocument/2006/relationships/hyperlink" Target="http://www.methockey.com/members/western-connecticut-state-university.shtml" TargetMode="External"/><Relationship Id="rId20" Type="http://schemas.openxmlformats.org/officeDocument/2006/relationships/hyperlink" Target="http://www.methockey.com/members/maritime-college.shtml" TargetMode="External"/><Relationship Id="rId41" Type="http://schemas.openxmlformats.org/officeDocument/2006/relationships/hyperlink" Target="http://www.methockey.com/members/suffolk-county-community-college.shtml" TargetMode="External"/><Relationship Id="rId54" Type="http://schemas.openxmlformats.org/officeDocument/2006/relationships/hyperlink" Target="http://www.methockey.com/members/stevens-institute-of-technology.shtml" TargetMode="External"/><Relationship Id="rId62" Type="http://schemas.openxmlformats.org/officeDocument/2006/relationships/hyperlink" Target="http://www.methockey.com/members/western-connecticut-state-university.shtml" TargetMode="External"/><Relationship Id="rId70" Type="http://schemas.openxmlformats.org/officeDocument/2006/relationships/hyperlink" Target="http://www.methockey.com/members/western-connecticut-state-university.shtml" TargetMode="External"/><Relationship Id="rId75" Type="http://schemas.openxmlformats.org/officeDocument/2006/relationships/hyperlink" Target="http://www.methockey.com/members/united-states-merchant-marine-academy-at-kings-point.shtml" TargetMode="External"/><Relationship Id="rId83" Type="http://schemas.openxmlformats.org/officeDocument/2006/relationships/hyperlink" Target="http://www.methockey.com/members/united-states-merchant-marine-academy-at-kings-point.shtml" TargetMode="External"/><Relationship Id="rId88" Type="http://schemas.openxmlformats.org/officeDocument/2006/relationships/hyperlink" Target="http://www.methockey.com/members/suffolk-county-community-college.shtml" TargetMode="External"/><Relationship Id="rId91" Type="http://schemas.openxmlformats.org/officeDocument/2006/relationships/printerSettings" Target="../printerSettings/printerSettings2.bin"/><Relationship Id="rId1" Type="http://schemas.openxmlformats.org/officeDocument/2006/relationships/hyperlink" Target="http://www.methockey.com/members/columbia-university.shtml" TargetMode="External"/><Relationship Id="rId6" Type="http://schemas.openxmlformats.org/officeDocument/2006/relationships/hyperlink" Target="http://www.methockey.com/members/columbia-university.shtml" TargetMode="External"/><Relationship Id="rId15" Type="http://schemas.openxmlformats.org/officeDocument/2006/relationships/hyperlink" Target="http://www.methockey.com/members/maritime-college.shtml" TargetMode="External"/><Relationship Id="rId23" Type="http://schemas.openxmlformats.org/officeDocument/2006/relationships/hyperlink" Target="http://www.methockey.com/members/maritime-college.shtml" TargetMode="External"/><Relationship Id="rId28" Type="http://schemas.openxmlformats.org/officeDocument/2006/relationships/hyperlink" Target="http://www.methockey.com/members/st-thomas-aquinas-college.shtml" TargetMode="External"/><Relationship Id="rId36" Type="http://schemas.openxmlformats.org/officeDocument/2006/relationships/hyperlink" Target="http://www.methockey.com/members/st-thomas-aquinas-college.shtml" TargetMode="External"/><Relationship Id="rId49" Type="http://schemas.openxmlformats.org/officeDocument/2006/relationships/hyperlink" Target="http://www.methockey.com/members/suffolk-county-community-college.shtml" TargetMode="External"/><Relationship Id="rId57" Type="http://schemas.openxmlformats.org/officeDocument/2006/relationships/hyperlink" Target="http://www.methockey.com/members/stevens-institute-of-technology.shtml" TargetMode="External"/><Relationship Id="rId10" Type="http://schemas.openxmlformats.org/officeDocument/2006/relationships/hyperlink" Target="http://www.methockey.com/members/columbia-university.shtml" TargetMode="External"/><Relationship Id="rId31" Type="http://schemas.openxmlformats.org/officeDocument/2006/relationships/hyperlink" Target="http://www.methockey.com/members/st-thomas-aquinas-college.shtml" TargetMode="External"/><Relationship Id="rId44" Type="http://schemas.openxmlformats.org/officeDocument/2006/relationships/hyperlink" Target="http://www.methockey.com/members/suffolk-county-community-college.shtml" TargetMode="External"/><Relationship Id="rId52" Type="http://schemas.openxmlformats.org/officeDocument/2006/relationships/hyperlink" Target="http://www.methockey.com/members/stevens-institute-of-technology.shtml" TargetMode="External"/><Relationship Id="rId60" Type="http://schemas.openxmlformats.org/officeDocument/2006/relationships/hyperlink" Target="http://www.methockey.com/members/stevens-institute-of-technology.shtml" TargetMode="External"/><Relationship Id="rId65" Type="http://schemas.openxmlformats.org/officeDocument/2006/relationships/hyperlink" Target="http://www.methockey.com/members/western-connecticut-state-university.shtml" TargetMode="External"/><Relationship Id="rId73" Type="http://schemas.openxmlformats.org/officeDocument/2006/relationships/hyperlink" Target="http://www.methockey.com/members/western-connecticut-state-university.shtml" TargetMode="External"/><Relationship Id="rId78" Type="http://schemas.openxmlformats.org/officeDocument/2006/relationships/hyperlink" Target="http://www.methockey.com/members/united-states-merchant-marine-academy-at-kings-point.shtml" TargetMode="External"/><Relationship Id="rId81" Type="http://schemas.openxmlformats.org/officeDocument/2006/relationships/hyperlink" Target="http://www.methockey.com/members/united-states-merchant-marine-academy-at-kings-point.shtml" TargetMode="External"/><Relationship Id="rId86" Type="http://schemas.openxmlformats.org/officeDocument/2006/relationships/hyperlink" Target="http://www.methockey.com/members/united-states-merchant-marine-academy-at-kings-point.shtml" TargetMode="External"/><Relationship Id="rId4" Type="http://schemas.openxmlformats.org/officeDocument/2006/relationships/hyperlink" Target="http://www.methockey.com/members/columbia-university.shtml" TargetMode="External"/><Relationship Id="rId9" Type="http://schemas.openxmlformats.org/officeDocument/2006/relationships/hyperlink" Target="http://www.methockey.com/members/columbia-university.shtml" TargetMode="External"/><Relationship Id="rId13" Type="http://schemas.openxmlformats.org/officeDocument/2006/relationships/hyperlink" Target="http://www.methockey.com/members/columbia-university.shtml" TargetMode="External"/><Relationship Id="rId18" Type="http://schemas.openxmlformats.org/officeDocument/2006/relationships/hyperlink" Target="http://www.methockey.com/members/maritime-college.shtml" TargetMode="External"/><Relationship Id="rId39" Type="http://schemas.openxmlformats.org/officeDocument/2006/relationships/hyperlink" Target="http://www.methockey.com/members/suffolk-county-community-college.shtml" TargetMode="External"/><Relationship Id="rId34" Type="http://schemas.openxmlformats.org/officeDocument/2006/relationships/hyperlink" Target="http://www.methockey.com/members/st-thomas-aquinas-college.shtml" TargetMode="External"/><Relationship Id="rId50" Type="http://schemas.openxmlformats.org/officeDocument/2006/relationships/hyperlink" Target="http://www.methockey.com/members/stevens-institute-of-technology.shtml" TargetMode="External"/><Relationship Id="rId55" Type="http://schemas.openxmlformats.org/officeDocument/2006/relationships/hyperlink" Target="http://www.methockey.com/members/stevens-institute-of-technology.shtml" TargetMode="External"/><Relationship Id="rId76" Type="http://schemas.openxmlformats.org/officeDocument/2006/relationships/hyperlink" Target="http://www.methockey.com/members/united-states-merchant-marine-academy-at-kings-point.shtml" TargetMode="External"/><Relationship Id="rId7" Type="http://schemas.openxmlformats.org/officeDocument/2006/relationships/hyperlink" Target="http://www.methockey.com/members/columbia-university.shtml" TargetMode="External"/><Relationship Id="rId71" Type="http://schemas.openxmlformats.org/officeDocument/2006/relationships/hyperlink" Target="http://www.methockey.com/members/western-connecticut-state-university.shtml" TargetMode="External"/><Relationship Id="rId2" Type="http://schemas.openxmlformats.org/officeDocument/2006/relationships/hyperlink" Target="http://www.methockey.com/members/columbia-university.shtml" TargetMode="External"/><Relationship Id="rId29" Type="http://schemas.openxmlformats.org/officeDocument/2006/relationships/hyperlink" Target="http://www.methockey.com/members/st-thomas-aquinas-college.shtml" TargetMode="External"/><Relationship Id="rId24" Type="http://schemas.openxmlformats.org/officeDocument/2006/relationships/hyperlink" Target="http://www.methockey.com/members/maritime-college.shtml" TargetMode="External"/><Relationship Id="rId40" Type="http://schemas.openxmlformats.org/officeDocument/2006/relationships/hyperlink" Target="http://www.methockey.com/members/suffolk-county-community-college.shtml" TargetMode="External"/><Relationship Id="rId45" Type="http://schemas.openxmlformats.org/officeDocument/2006/relationships/hyperlink" Target="http://www.methockey.com/members/suffolk-county-community-college.shtml" TargetMode="External"/><Relationship Id="rId66" Type="http://schemas.openxmlformats.org/officeDocument/2006/relationships/hyperlink" Target="http://www.methockey.com/members/western-connecticut-state-university.shtml" TargetMode="External"/><Relationship Id="rId87" Type="http://schemas.openxmlformats.org/officeDocument/2006/relationships/hyperlink" Target="http://www.methockey.com/members/united-states-merchant-marine-academy-at-kings-point.shtml" TargetMode="External"/><Relationship Id="rId61" Type="http://schemas.openxmlformats.org/officeDocument/2006/relationships/hyperlink" Target="http://www.methockey.com/members/stevens-institute-of-technology.shtml" TargetMode="External"/><Relationship Id="rId82" Type="http://schemas.openxmlformats.org/officeDocument/2006/relationships/hyperlink" Target="http://www.methockey.com/members/united-states-merchant-marine-academy-at-kings-point.shtml" TargetMode="External"/><Relationship Id="rId19" Type="http://schemas.openxmlformats.org/officeDocument/2006/relationships/hyperlink" Target="http://www.methockey.com/members/maritime-college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4"/>
  <sheetViews>
    <sheetView workbookViewId="0">
      <selection activeCell="Q19" sqref="Q19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.109375" bestFit="1" customWidth="1"/>
    <col min="4" max="4" width="3.88671875" style="1" bestFit="1" customWidth="1"/>
    <col min="5" max="6" width="3" bestFit="1" customWidth="1"/>
    <col min="7" max="7" width="5" bestFit="1" customWidth="1"/>
    <col min="8" max="8" width="4.88671875" bestFit="1" customWidth="1"/>
    <col min="9" max="10" width="4" bestFit="1" customWidth="1"/>
    <col min="11" max="11" width="0.88671875" customWidth="1"/>
  </cols>
  <sheetData>
    <row r="2" spans="1:16" s="2" customFormat="1" ht="12" customHeight="1" thickBot="1" x14ac:dyDescent="0.35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1:16" ht="18.600000000000001" thickBot="1" x14ac:dyDescent="0.35">
      <c r="A3" s="69"/>
      <c r="B3" s="57"/>
      <c r="C3" s="58" t="s">
        <v>6</v>
      </c>
      <c r="D3" s="59" t="s">
        <v>11</v>
      </c>
      <c r="E3" s="59" t="s">
        <v>43</v>
      </c>
      <c r="F3" s="59" t="s">
        <v>44</v>
      </c>
      <c r="G3" s="59" t="s">
        <v>7</v>
      </c>
      <c r="H3" s="59" t="s">
        <v>8</v>
      </c>
      <c r="I3" s="59" t="s">
        <v>9</v>
      </c>
      <c r="J3" s="60" t="s">
        <v>10</v>
      </c>
      <c r="K3" s="69"/>
      <c r="M3" s="64" t="s">
        <v>18</v>
      </c>
      <c r="N3" s="65"/>
      <c r="O3" s="65"/>
      <c r="P3" s="65"/>
    </row>
    <row r="4" spans="1:16" ht="18" customHeight="1" x14ac:dyDescent="0.3">
      <c r="A4" s="69"/>
      <c r="B4" s="32">
        <v>1</v>
      </c>
      <c r="C4" s="61" t="s">
        <v>30</v>
      </c>
      <c r="D4" s="33">
        <v>12</v>
      </c>
      <c r="E4" s="33">
        <v>9</v>
      </c>
      <c r="F4" s="33">
        <v>3</v>
      </c>
      <c r="G4" s="33">
        <v>0</v>
      </c>
      <c r="H4" s="33">
        <v>18</v>
      </c>
      <c r="I4" s="33">
        <v>62</v>
      </c>
      <c r="J4" s="34">
        <v>47</v>
      </c>
      <c r="K4" s="69"/>
      <c r="M4" s="4">
        <v>1</v>
      </c>
      <c r="N4" t="s">
        <v>19</v>
      </c>
    </row>
    <row r="5" spans="1:16" ht="18" customHeight="1" x14ac:dyDescent="0.3">
      <c r="A5" s="69"/>
      <c r="B5" s="21">
        <v>2</v>
      </c>
      <c r="C5" s="62" t="s">
        <v>5</v>
      </c>
      <c r="D5" s="23">
        <v>12</v>
      </c>
      <c r="E5" s="23">
        <v>8</v>
      </c>
      <c r="F5" s="23">
        <v>2</v>
      </c>
      <c r="G5" s="23">
        <v>2</v>
      </c>
      <c r="H5" s="23">
        <v>18</v>
      </c>
      <c r="I5" s="23">
        <v>90</v>
      </c>
      <c r="J5" s="24">
        <v>76</v>
      </c>
      <c r="K5" s="69"/>
      <c r="M5" s="4">
        <v>2</v>
      </c>
      <c r="N5" t="s">
        <v>20</v>
      </c>
    </row>
    <row r="6" spans="1:16" ht="18" customHeight="1" x14ac:dyDescent="0.3">
      <c r="A6" s="69"/>
      <c r="B6" s="25">
        <v>3</v>
      </c>
      <c r="C6" s="63" t="s">
        <v>28</v>
      </c>
      <c r="D6" s="26">
        <v>12</v>
      </c>
      <c r="E6" s="26">
        <v>8</v>
      </c>
      <c r="F6" s="26">
        <v>3</v>
      </c>
      <c r="G6" s="26">
        <v>1</v>
      </c>
      <c r="H6" s="26">
        <v>17</v>
      </c>
      <c r="I6" s="26">
        <v>56</v>
      </c>
      <c r="J6" s="27">
        <v>50</v>
      </c>
      <c r="K6" s="69"/>
      <c r="M6" s="4">
        <v>3</v>
      </c>
      <c r="N6" t="s">
        <v>21</v>
      </c>
    </row>
    <row r="7" spans="1:16" ht="18" customHeight="1" x14ac:dyDescent="0.3">
      <c r="A7" s="69"/>
      <c r="B7" s="21">
        <v>4</v>
      </c>
      <c r="C7" s="63" t="s">
        <v>3</v>
      </c>
      <c r="D7" s="23">
        <v>12</v>
      </c>
      <c r="E7" s="23">
        <v>7</v>
      </c>
      <c r="F7" s="23">
        <v>4</v>
      </c>
      <c r="G7" s="23">
        <v>1</v>
      </c>
      <c r="H7" s="23">
        <v>15</v>
      </c>
      <c r="I7" s="23">
        <v>43</v>
      </c>
      <c r="J7" s="24">
        <v>43</v>
      </c>
      <c r="K7" s="69"/>
      <c r="M7" s="4">
        <v>4</v>
      </c>
      <c r="N7" t="s">
        <v>23</v>
      </c>
    </row>
    <row r="8" spans="1:16" ht="18" customHeight="1" x14ac:dyDescent="0.3">
      <c r="A8" s="69"/>
      <c r="B8" s="21">
        <v>5</v>
      </c>
      <c r="C8" s="62" t="s">
        <v>4</v>
      </c>
      <c r="D8" s="23">
        <v>12</v>
      </c>
      <c r="E8" s="23">
        <v>4</v>
      </c>
      <c r="F8" s="23">
        <v>4</v>
      </c>
      <c r="G8" s="23">
        <v>4</v>
      </c>
      <c r="H8" s="23">
        <v>12</v>
      </c>
      <c r="I8" s="23">
        <v>54</v>
      </c>
      <c r="J8" s="24">
        <v>53</v>
      </c>
      <c r="K8" s="69"/>
      <c r="M8" s="4">
        <v>5</v>
      </c>
      <c r="N8" t="s">
        <v>25</v>
      </c>
    </row>
    <row r="9" spans="1:16" ht="18" customHeight="1" x14ac:dyDescent="0.3">
      <c r="A9" s="69"/>
      <c r="B9" s="21">
        <v>6</v>
      </c>
      <c r="C9" s="62" t="s">
        <v>39</v>
      </c>
      <c r="D9" s="23">
        <v>12</v>
      </c>
      <c r="E9" s="23">
        <v>4</v>
      </c>
      <c r="F9" s="23">
        <v>8</v>
      </c>
      <c r="G9" s="23">
        <v>0</v>
      </c>
      <c r="H9" s="23">
        <v>8</v>
      </c>
      <c r="I9" s="23">
        <v>56</v>
      </c>
      <c r="J9" s="24">
        <v>67</v>
      </c>
      <c r="K9" s="69"/>
    </row>
    <row r="10" spans="1:16" ht="18" customHeight="1" x14ac:dyDescent="0.3">
      <c r="A10" s="69"/>
      <c r="B10" s="21">
        <v>7</v>
      </c>
      <c r="C10" s="62" t="s">
        <v>47</v>
      </c>
      <c r="D10" s="23">
        <v>12</v>
      </c>
      <c r="E10" s="23">
        <v>2</v>
      </c>
      <c r="F10" s="23">
        <v>8</v>
      </c>
      <c r="G10" s="23">
        <v>2</v>
      </c>
      <c r="H10" s="23">
        <v>6</v>
      </c>
      <c r="I10" s="23">
        <v>47</v>
      </c>
      <c r="J10" s="24">
        <v>72</v>
      </c>
      <c r="K10" s="69"/>
      <c r="M10" t="s">
        <v>22</v>
      </c>
    </row>
    <row r="11" spans="1:16" ht="18" customHeight="1" thickBot="1" x14ac:dyDescent="0.35">
      <c r="A11" s="69"/>
      <c r="B11" s="21"/>
      <c r="C11" s="22"/>
      <c r="D11" s="23"/>
      <c r="E11" s="23"/>
      <c r="F11" s="23"/>
      <c r="G11" s="23"/>
      <c r="H11" s="23"/>
      <c r="I11" s="23"/>
      <c r="J11" s="24"/>
      <c r="K11" s="69"/>
    </row>
    <row r="12" spans="1:16" ht="16.8" thickTop="1" thickBot="1" x14ac:dyDescent="0.35">
      <c r="A12" s="69"/>
      <c r="B12" s="20"/>
      <c r="C12" s="20"/>
      <c r="D12" s="20"/>
      <c r="E12" s="20"/>
      <c r="F12" s="20"/>
      <c r="G12" s="20"/>
      <c r="H12" s="20"/>
      <c r="I12" s="20"/>
      <c r="J12" s="20"/>
      <c r="K12" s="69"/>
      <c r="M12" s="66" t="s">
        <v>24</v>
      </c>
      <c r="N12" s="66"/>
      <c r="O12" s="66"/>
      <c r="P12" s="5">
        <v>41</v>
      </c>
    </row>
    <row r="13" spans="1:16" ht="24.9" customHeight="1" thickTop="1" x14ac:dyDescent="0.3"/>
    <row r="14" spans="1:16" x14ac:dyDescent="0.3">
      <c r="G14" s="67" t="s">
        <v>26</v>
      </c>
      <c r="H14" s="67"/>
      <c r="I14" s="7">
        <f>SUM(I4:I11)</f>
        <v>408</v>
      </c>
      <c r="J14" s="7">
        <f>SUM(J4:J11)</f>
        <v>408</v>
      </c>
    </row>
  </sheetData>
  <sortState xmlns:xlrd2="http://schemas.microsoft.com/office/spreadsheetml/2017/richdata2" ref="C4:J11">
    <sortCondition descending="1" ref="H4:H11"/>
    <sortCondition descending="1" ref="E4:E11"/>
    <sortCondition ref="D4:D11"/>
    <sortCondition descending="1" ref="I4:I11"/>
    <sortCondition ref="J4:J11"/>
  </sortState>
  <mergeCells count="6">
    <mergeCell ref="M3:P3"/>
    <mergeCell ref="M12:O12"/>
    <mergeCell ref="G14:H14"/>
    <mergeCell ref="A2:K2"/>
    <mergeCell ref="A3:A12"/>
    <mergeCell ref="K3:K12"/>
  </mergeCells>
  <hyperlinks>
    <hyperlink ref="C5" r:id="rId1" xr:uid="{060CFBB0-E3DA-47FC-9A21-0104F9E471B7}"/>
    <hyperlink ref="C4" r:id="rId2" xr:uid="{21470E61-5F9B-4CD2-9EC7-3584B6A77CC8}"/>
    <hyperlink ref="C6" r:id="rId3" xr:uid="{9B632F68-FFB2-47ED-9D8C-6B7BFA220CB1}"/>
    <hyperlink ref="C7" r:id="rId4" xr:uid="{FA2FA097-A559-4512-A6CC-42FC76B8A967}"/>
    <hyperlink ref="C8" r:id="rId5" xr:uid="{EDDE1E06-B610-4722-8300-37B5C954D09C}"/>
    <hyperlink ref="C9" r:id="rId6" xr:uid="{E50DFD75-4308-4442-BF00-35DE596D5C7A}"/>
    <hyperlink ref="C10" r:id="rId7" xr:uid="{735E048F-A80E-48BE-B2A5-FD6F7FE20389}"/>
  </hyperlinks>
  <pageMargins left="0.7" right="0.7" top="0.75" bottom="0.75" header="0.3" footer="0.3"/>
  <pageSetup orientation="portrait" r:id="rId8"/>
  <drawing r:id="rId9"/>
  <webPublishItems count="1">
    <webPublishItem id="3713" divId="MCHC 2019-20 Standings Worksheet_3713" sourceType="range" sourceRef="B3:J10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83"/>
  <sheetViews>
    <sheetView tabSelected="1" zoomScaleNormal="100" workbookViewId="0">
      <selection activeCell="N13" sqref="N13"/>
    </sheetView>
  </sheetViews>
  <sheetFormatPr defaultRowHeight="14.4" x14ac:dyDescent="0.3"/>
  <cols>
    <col min="1" max="1" width="3" style="1" bestFit="1" customWidth="1"/>
    <col min="2" max="2" width="11.33203125" style="31" bestFit="1" customWidth="1"/>
    <col min="3" max="3" width="9.88671875" style="80" bestFit="1" customWidth="1"/>
    <col min="4" max="4" width="4" style="1" bestFit="1" customWidth="1"/>
    <col min="5" max="5" width="9.88671875" style="80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17</v>
      </c>
      <c r="I1" s="1" t="s">
        <v>15</v>
      </c>
      <c r="J1" s="1" t="s">
        <v>16</v>
      </c>
      <c r="M1" s="6" t="s">
        <v>37</v>
      </c>
      <c r="N1" s="6">
        <v>1</v>
      </c>
      <c r="R1" s="70" t="s">
        <v>78</v>
      </c>
      <c r="S1" s="71"/>
      <c r="T1" s="50">
        <f>MAX(A:A)</f>
        <v>42</v>
      </c>
      <c r="U1" s="51"/>
    </row>
    <row r="2" spans="1:23" ht="15.6" thickTop="1" thickBot="1" x14ac:dyDescent="0.35">
      <c r="A2" s="54" t="s">
        <v>13</v>
      </c>
      <c r="B2" s="55" t="s">
        <v>12</v>
      </c>
      <c r="C2" s="81" t="s">
        <v>1</v>
      </c>
      <c r="D2" s="54" t="s">
        <v>45</v>
      </c>
      <c r="E2" s="81" t="s">
        <v>0</v>
      </c>
      <c r="F2" s="54" t="s">
        <v>45</v>
      </c>
      <c r="G2" s="56" t="s">
        <v>14</v>
      </c>
      <c r="H2" s="3"/>
      <c r="M2" s="19" t="s">
        <v>38</v>
      </c>
      <c r="N2" s="6">
        <v>2</v>
      </c>
      <c r="P2" s="44" t="s">
        <v>70</v>
      </c>
      <c r="Q2" s="49" t="s">
        <v>71</v>
      </c>
      <c r="R2" s="72" t="s">
        <v>79</v>
      </c>
      <c r="S2" s="73"/>
      <c r="T2" s="52">
        <f>SUM(T3:T7)</f>
        <v>41</v>
      </c>
      <c r="U2" s="53"/>
      <c r="W2" s="36"/>
    </row>
    <row r="3" spans="1:23" ht="15.6" thickTop="1" thickBot="1" x14ac:dyDescent="0.35">
      <c r="A3" s="16">
        <v>1</v>
      </c>
      <c r="B3" s="28">
        <v>43736</v>
      </c>
      <c r="C3" s="82" t="s">
        <v>5</v>
      </c>
      <c r="D3" s="16">
        <v>11</v>
      </c>
      <c r="E3" s="82" t="s">
        <v>39</v>
      </c>
      <c r="F3" s="16">
        <v>7</v>
      </c>
      <c r="G3" s="18"/>
      <c r="H3" s="13" t="s">
        <v>54</v>
      </c>
      <c r="I3" s="14">
        <v>1</v>
      </c>
      <c r="J3" s="14">
        <v>3</v>
      </c>
      <c r="M3" s="6" t="s">
        <v>40</v>
      </c>
      <c r="N3" s="6">
        <v>3</v>
      </c>
      <c r="P3" s="45">
        <f>D3-F3</f>
        <v>4</v>
      </c>
      <c r="Q3" s="36">
        <f>ABS(P3)</f>
        <v>4</v>
      </c>
      <c r="R3" s="35">
        <v>1</v>
      </c>
      <c r="S3" s="36" t="s">
        <v>73</v>
      </c>
      <c r="T3" s="36">
        <f>COUNTIF($Q$3:$Q$44,R3)</f>
        <v>20</v>
      </c>
      <c r="U3" s="40">
        <f>T3/$T$2</f>
        <v>0.48780487804878048</v>
      </c>
      <c r="V3" s="36"/>
      <c r="W3" s="36"/>
    </row>
    <row r="4" spans="1:23" ht="15.6" thickTop="1" thickBot="1" x14ac:dyDescent="0.35">
      <c r="A4" s="16">
        <v>2</v>
      </c>
      <c r="B4" s="28">
        <v>43742</v>
      </c>
      <c r="C4" s="82" t="s">
        <v>5</v>
      </c>
      <c r="D4" s="16">
        <v>9</v>
      </c>
      <c r="E4" s="82" t="s">
        <v>42</v>
      </c>
      <c r="F4" s="16">
        <v>10</v>
      </c>
      <c r="G4" s="18" t="s">
        <v>49</v>
      </c>
      <c r="H4" s="13" t="s">
        <v>50</v>
      </c>
      <c r="I4" s="14">
        <v>1</v>
      </c>
      <c r="J4" s="14">
        <v>4</v>
      </c>
      <c r="M4" s="6" t="s">
        <v>41</v>
      </c>
      <c r="N4" s="6">
        <v>4</v>
      </c>
      <c r="P4" s="45">
        <f t="shared" ref="P4:P44" si="0">D4-F4</f>
        <v>-1</v>
      </c>
      <c r="Q4" s="36">
        <f t="shared" ref="Q4:Q44" si="1">ABS(P4)</f>
        <v>1</v>
      </c>
      <c r="R4" s="35">
        <v>2</v>
      </c>
      <c r="S4" s="36" t="s">
        <v>73</v>
      </c>
      <c r="T4" s="36">
        <f>COUNTIF($Q$3:$Q$44,R4)</f>
        <v>7</v>
      </c>
      <c r="U4" s="40">
        <f>T4/$T$2</f>
        <v>0.17073170731707318</v>
      </c>
      <c r="V4" s="36"/>
      <c r="W4" s="36"/>
    </row>
    <row r="5" spans="1:23" ht="15.6" thickTop="1" thickBot="1" x14ac:dyDescent="0.35">
      <c r="A5" s="16">
        <v>3</v>
      </c>
      <c r="B5" s="28">
        <v>43743</v>
      </c>
      <c r="C5" s="82" t="s">
        <v>28</v>
      </c>
      <c r="D5" s="16">
        <v>6</v>
      </c>
      <c r="E5" s="82" t="s">
        <v>4</v>
      </c>
      <c r="F5" s="16">
        <v>7</v>
      </c>
      <c r="G5" s="18" t="s">
        <v>48</v>
      </c>
      <c r="H5" s="13" t="s">
        <v>51</v>
      </c>
      <c r="I5" s="14">
        <v>6</v>
      </c>
      <c r="J5" s="14">
        <v>5</v>
      </c>
      <c r="M5" s="6" t="s">
        <v>36</v>
      </c>
      <c r="N5" s="6">
        <v>5</v>
      </c>
      <c r="P5" s="45">
        <f t="shared" si="0"/>
        <v>-1</v>
      </c>
      <c r="Q5" s="36">
        <f t="shared" si="1"/>
        <v>1</v>
      </c>
      <c r="R5" s="35">
        <v>3</v>
      </c>
      <c r="S5" s="36" t="s">
        <v>73</v>
      </c>
      <c r="T5" s="36">
        <f>COUNTIF($Q$3:$Q$44,R5)</f>
        <v>6</v>
      </c>
      <c r="U5" s="40">
        <f>T5/$T$2</f>
        <v>0.14634146341463414</v>
      </c>
      <c r="V5" s="36"/>
      <c r="W5" s="36"/>
    </row>
    <row r="6" spans="1:23" ht="15.6" thickTop="1" thickBot="1" x14ac:dyDescent="0.35">
      <c r="A6" s="16">
        <v>4</v>
      </c>
      <c r="B6" s="28">
        <v>43744</v>
      </c>
      <c r="C6" s="82" t="s">
        <v>42</v>
      </c>
      <c r="D6" s="16">
        <v>5</v>
      </c>
      <c r="E6" s="82" t="s">
        <v>4</v>
      </c>
      <c r="F6" s="16">
        <v>1</v>
      </c>
      <c r="G6" s="18"/>
      <c r="H6" s="13" t="s">
        <v>53</v>
      </c>
      <c r="I6" s="14">
        <v>4</v>
      </c>
      <c r="J6" s="14">
        <v>5</v>
      </c>
      <c r="M6" s="6" t="s">
        <v>35</v>
      </c>
      <c r="N6" s="6">
        <v>6</v>
      </c>
      <c r="P6" s="45">
        <f t="shared" si="0"/>
        <v>4</v>
      </c>
      <c r="Q6" s="36">
        <f t="shared" si="1"/>
        <v>4</v>
      </c>
      <c r="R6" s="41">
        <v>4</v>
      </c>
      <c r="S6" s="36" t="s">
        <v>73</v>
      </c>
      <c r="T6" s="36">
        <f>COUNTIF($Q$3:$Q$44,R6)</f>
        <v>3</v>
      </c>
      <c r="U6" s="40">
        <f>T6/$T$2</f>
        <v>7.3170731707317069E-2</v>
      </c>
      <c r="V6" s="36"/>
      <c r="W6" s="36"/>
    </row>
    <row r="7" spans="1:23" ht="15.6" thickTop="1" thickBot="1" x14ac:dyDescent="0.35">
      <c r="A7" s="16">
        <v>5</v>
      </c>
      <c r="B7" s="28">
        <v>43744</v>
      </c>
      <c r="C7" s="82" t="s">
        <v>5</v>
      </c>
      <c r="D7" s="16">
        <v>9</v>
      </c>
      <c r="E7" s="82" t="s">
        <v>47</v>
      </c>
      <c r="F7" s="16">
        <v>8</v>
      </c>
      <c r="G7" s="18" t="s">
        <v>48</v>
      </c>
      <c r="H7" s="13" t="s">
        <v>52</v>
      </c>
      <c r="I7" s="14">
        <v>1</v>
      </c>
      <c r="J7" s="14">
        <v>7</v>
      </c>
      <c r="M7" s="6" t="s">
        <v>46</v>
      </c>
      <c r="N7" s="6">
        <v>7</v>
      </c>
      <c r="P7" s="45">
        <f t="shared" si="0"/>
        <v>1</v>
      </c>
      <c r="Q7" s="36">
        <f t="shared" si="1"/>
        <v>1</v>
      </c>
      <c r="R7" s="42" t="s">
        <v>72</v>
      </c>
      <c r="S7" s="38" t="s">
        <v>73</v>
      </c>
      <c r="T7" s="38">
        <f>COUNTIF($Q$3:$Q$44,"&gt;=5")</f>
        <v>5</v>
      </c>
      <c r="U7" s="43">
        <f>T7/$T$2</f>
        <v>0.12195121951219512</v>
      </c>
      <c r="V7" s="36"/>
      <c r="W7" s="36"/>
    </row>
    <row r="8" spans="1:23" ht="15.6" thickTop="1" thickBot="1" x14ac:dyDescent="0.35">
      <c r="A8" s="16">
        <v>6</v>
      </c>
      <c r="B8" s="28">
        <v>43749</v>
      </c>
      <c r="C8" s="82" t="s">
        <v>39</v>
      </c>
      <c r="D8" s="16">
        <v>8</v>
      </c>
      <c r="E8" s="82" t="s">
        <v>42</v>
      </c>
      <c r="F8" s="16">
        <v>5</v>
      </c>
      <c r="G8" s="18"/>
      <c r="H8" s="13" t="s">
        <v>55</v>
      </c>
      <c r="I8" s="14">
        <v>3</v>
      </c>
      <c r="J8" s="14">
        <v>4</v>
      </c>
      <c r="M8" s="6"/>
      <c r="N8" s="6"/>
      <c r="P8" s="45">
        <f t="shared" si="0"/>
        <v>3</v>
      </c>
      <c r="Q8" s="46">
        <f t="shared" si="1"/>
        <v>3</v>
      </c>
      <c r="R8" s="36"/>
      <c r="S8" s="36"/>
      <c r="T8" s="36"/>
      <c r="U8" s="39">
        <f>SUM(U3:U7)</f>
        <v>1</v>
      </c>
      <c r="V8" s="36"/>
      <c r="W8" s="36"/>
    </row>
    <row r="9" spans="1:23" ht="15.6" thickTop="1" thickBot="1" x14ac:dyDescent="0.35">
      <c r="A9" s="16">
        <v>7</v>
      </c>
      <c r="B9" s="28">
        <v>43750</v>
      </c>
      <c r="C9" s="82" t="s">
        <v>47</v>
      </c>
      <c r="D9" s="16">
        <v>7</v>
      </c>
      <c r="E9" s="82" t="s">
        <v>5</v>
      </c>
      <c r="F9" s="16">
        <v>14</v>
      </c>
      <c r="G9" s="18"/>
      <c r="H9" s="13" t="s">
        <v>56</v>
      </c>
      <c r="I9" s="14">
        <v>7</v>
      </c>
      <c r="J9" s="14">
        <v>1</v>
      </c>
      <c r="N9" s="6">
        <v>7</v>
      </c>
      <c r="P9" s="45">
        <f t="shared" si="0"/>
        <v>-7</v>
      </c>
      <c r="Q9" s="46">
        <f t="shared" si="1"/>
        <v>7</v>
      </c>
      <c r="R9" s="36"/>
      <c r="S9" s="36"/>
      <c r="T9" s="36"/>
      <c r="U9" s="39"/>
      <c r="V9" s="36"/>
      <c r="W9" s="36"/>
    </row>
    <row r="10" spans="1:23" ht="15" thickBot="1" x14ac:dyDescent="0.35">
      <c r="A10" s="16">
        <v>8</v>
      </c>
      <c r="B10" s="28">
        <v>43756</v>
      </c>
      <c r="C10" s="82" t="s">
        <v>28</v>
      </c>
      <c r="D10" s="16">
        <v>3</v>
      </c>
      <c r="E10" s="82" t="s">
        <v>42</v>
      </c>
      <c r="F10" s="16">
        <v>10</v>
      </c>
      <c r="G10" s="18"/>
      <c r="H10" s="13" t="s">
        <v>57</v>
      </c>
      <c r="I10" s="14">
        <v>6</v>
      </c>
      <c r="J10" s="14">
        <v>4</v>
      </c>
      <c r="P10" s="45">
        <f t="shared" si="0"/>
        <v>-7</v>
      </c>
      <c r="Q10" s="46">
        <f t="shared" si="1"/>
        <v>7</v>
      </c>
      <c r="R10" s="36"/>
      <c r="S10" s="36"/>
      <c r="T10" s="36"/>
      <c r="U10" s="39"/>
      <c r="V10" s="36"/>
      <c r="W10" s="36"/>
    </row>
    <row r="11" spans="1:23" ht="15" thickBot="1" x14ac:dyDescent="0.35">
      <c r="A11" s="16">
        <v>9</v>
      </c>
      <c r="B11" s="28">
        <v>43757</v>
      </c>
      <c r="C11" s="82" t="s">
        <v>4</v>
      </c>
      <c r="D11" s="16">
        <v>7</v>
      </c>
      <c r="E11" s="82" t="s">
        <v>5</v>
      </c>
      <c r="F11" s="16">
        <v>4</v>
      </c>
      <c r="G11" s="18"/>
      <c r="H11" s="13" t="s">
        <v>58</v>
      </c>
      <c r="I11" s="14">
        <v>5</v>
      </c>
      <c r="J11" s="14">
        <v>1</v>
      </c>
      <c r="P11" s="45">
        <f t="shared" si="0"/>
        <v>3</v>
      </c>
      <c r="Q11" s="46">
        <f t="shared" si="1"/>
        <v>3</v>
      </c>
      <c r="R11" s="36"/>
      <c r="S11" s="36"/>
      <c r="T11" s="36"/>
      <c r="U11" s="37"/>
      <c r="V11" s="36"/>
      <c r="W11" s="36"/>
    </row>
    <row r="12" spans="1:23" ht="15" thickBot="1" x14ac:dyDescent="0.35">
      <c r="A12" s="16">
        <v>10</v>
      </c>
      <c r="B12" s="28">
        <v>43764</v>
      </c>
      <c r="C12" s="82" t="s">
        <v>5</v>
      </c>
      <c r="D12" s="16">
        <v>8</v>
      </c>
      <c r="E12" s="82" t="s">
        <v>4</v>
      </c>
      <c r="F12" s="16">
        <v>7</v>
      </c>
      <c r="G12" s="18" t="s">
        <v>49</v>
      </c>
      <c r="H12" s="13" t="s">
        <v>52</v>
      </c>
      <c r="I12" s="14">
        <v>1</v>
      </c>
      <c r="J12" s="14">
        <v>5</v>
      </c>
      <c r="P12" s="45">
        <f t="shared" si="0"/>
        <v>1</v>
      </c>
      <c r="Q12" s="46">
        <f t="shared" si="1"/>
        <v>1</v>
      </c>
      <c r="R12" s="36"/>
      <c r="S12" s="36"/>
      <c r="T12" s="36"/>
      <c r="U12" s="36"/>
      <c r="V12" s="36"/>
      <c r="W12" s="36"/>
    </row>
    <row r="13" spans="1:23" ht="15" thickBot="1" x14ac:dyDescent="0.35">
      <c r="A13" s="16">
        <v>11</v>
      </c>
      <c r="B13" s="28">
        <v>43764</v>
      </c>
      <c r="C13" s="82" t="s">
        <v>47</v>
      </c>
      <c r="D13" s="16">
        <v>4</v>
      </c>
      <c r="E13" s="82" t="s">
        <v>28</v>
      </c>
      <c r="F13" s="16">
        <v>5</v>
      </c>
      <c r="G13" s="18" t="s">
        <v>49</v>
      </c>
      <c r="H13" s="13" t="s">
        <v>59</v>
      </c>
      <c r="I13" s="14">
        <v>7</v>
      </c>
      <c r="J13" s="14">
        <v>6</v>
      </c>
      <c r="P13" s="45">
        <f t="shared" si="0"/>
        <v>-1</v>
      </c>
      <c r="Q13" s="46">
        <f t="shared" si="1"/>
        <v>1</v>
      </c>
      <c r="R13" s="36"/>
      <c r="S13" s="36"/>
      <c r="T13" s="36"/>
      <c r="U13" s="36"/>
      <c r="V13" s="36"/>
      <c r="W13" s="36"/>
    </row>
    <row r="14" spans="1:23" ht="15" thickBot="1" x14ac:dyDescent="0.35">
      <c r="A14" s="16">
        <v>12</v>
      </c>
      <c r="B14" s="28">
        <v>43771</v>
      </c>
      <c r="C14" s="82" t="s">
        <v>4</v>
      </c>
      <c r="D14" s="16">
        <v>5</v>
      </c>
      <c r="E14" s="82" t="s">
        <v>28</v>
      </c>
      <c r="F14" s="16">
        <v>6</v>
      </c>
      <c r="G14" s="18" t="s">
        <v>49</v>
      </c>
      <c r="H14" s="13" t="s">
        <v>59</v>
      </c>
      <c r="I14" s="14">
        <v>5</v>
      </c>
      <c r="J14" s="14">
        <v>6</v>
      </c>
      <c r="P14" s="45">
        <f t="shared" si="0"/>
        <v>-1</v>
      </c>
      <c r="Q14" s="46">
        <f t="shared" si="1"/>
        <v>1</v>
      </c>
      <c r="R14" s="36"/>
      <c r="S14" s="36"/>
      <c r="T14" s="36"/>
      <c r="U14" s="36"/>
      <c r="V14" s="36"/>
      <c r="W14" s="36"/>
    </row>
    <row r="15" spans="1:23" ht="15" thickBot="1" x14ac:dyDescent="0.35">
      <c r="A15" s="16">
        <v>13</v>
      </c>
      <c r="B15" s="28">
        <v>43771</v>
      </c>
      <c r="C15" s="82" t="s">
        <v>47</v>
      </c>
      <c r="D15" s="16">
        <v>6</v>
      </c>
      <c r="E15" s="82" t="s">
        <v>39</v>
      </c>
      <c r="F15" s="16">
        <v>9</v>
      </c>
      <c r="G15" s="18"/>
      <c r="H15" s="13" t="s">
        <v>60</v>
      </c>
      <c r="I15" s="14">
        <v>7</v>
      </c>
      <c r="J15" s="14">
        <v>3</v>
      </c>
      <c r="P15" s="45">
        <f t="shared" si="0"/>
        <v>-3</v>
      </c>
      <c r="Q15" s="46">
        <f t="shared" si="1"/>
        <v>3</v>
      </c>
      <c r="R15" s="36"/>
      <c r="S15" s="36"/>
      <c r="T15" s="36"/>
      <c r="U15" s="36"/>
      <c r="V15" s="36"/>
      <c r="W15" s="36"/>
    </row>
    <row r="16" spans="1:23" ht="15" thickBot="1" x14ac:dyDescent="0.35">
      <c r="A16" s="16">
        <v>14</v>
      </c>
      <c r="B16" s="28">
        <v>43772</v>
      </c>
      <c r="C16" s="82" t="s">
        <v>42</v>
      </c>
      <c r="D16" s="16">
        <v>4</v>
      </c>
      <c r="E16" s="82" t="s">
        <v>47</v>
      </c>
      <c r="F16" s="16">
        <v>2</v>
      </c>
      <c r="G16" s="18"/>
      <c r="H16" s="13" t="s">
        <v>53</v>
      </c>
      <c r="I16" s="14">
        <v>4</v>
      </c>
      <c r="J16" s="14">
        <v>7</v>
      </c>
      <c r="P16" s="45">
        <f t="shared" si="0"/>
        <v>2</v>
      </c>
      <c r="Q16" s="46">
        <f t="shared" si="1"/>
        <v>2</v>
      </c>
      <c r="R16" s="36"/>
      <c r="S16" s="36"/>
      <c r="T16" s="36"/>
      <c r="U16" s="36"/>
      <c r="V16" s="36"/>
      <c r="W16" s="36"/>
    </row>
    <row r="17" spans="1:23" ht="15" thickBot="1" x14ac:dyDescent="0.35">
      <c r="A17" s="16">
        <v>15</v>
      </c>
      <c r="B17" s="28">
        <v>43777</v>
      </c>
      <c r="C17" s="82" t="s">
        <v>47</v>
      </c>
      <c r="D17" s="16">
        <v>5</v>
      </c>
      <c r="E17" s="82" t="s">
        <v>4</v>
      </c>
      <c r="F17" s="16">
        <v>3</v>
      </c>
      <c r="G17" s="18"/>
      <c r="H17" s="13" t="s">
        <v>62</v>
      </c>
      <c r="I17" s="14">
        <v>7</v>
      </c>
      <c r="J17" s="14">
        <v>5</v>
      </c>
      <c r="P17" s="45">
        <f t="shared" si="0"/>
        <v>2</v>
      </c>
      <c r="Q17" s="46">
        <f t="shared" si="1"/>
        <v>2</v>
      </c>
      <c r="R17" s="36"/>
      <c r="S17" s="36"/>
      <c r="T17" s="36"/>
      <c r="U17" s="36"/>
      <c r="V17" s="36"/>
      <c r="W17" s="36"/>
    </row>
    <row r="18" spans="1:23" ht="15" thickBot="1" x14ac:dyDescent="0.35">
      <c r="A18" s="16">
        <v>16</v>
      </c>
      <c r="B18" s="28">
        <v>43778</v>
      </c>
      <c r="C18" s="82" t="s">
        <v>42</v>
      </c>
      <c r="D18" s="16">
        <v>3</v>
      </c>
      <c r="E18" s="82" t="s">
        <v>28</v>
      </c>
      <c r="F18" s="16">
        <v>6</v>
      </c>
      <c r="G18" s="18"/>
      <c r="H18" s="13" t="s">
        <v>61</v>
      </c>
      <c r="I18" s="14">
        <v>4</v>
      </c>
      <c r="J18" s="14">
        <v>6</v>
      </c>
      <c r="P18" s="45">
        <f t="shared" si="0"/>
        <v>-3</v>
      </c>
      <c r="Q18" s="46">
        <f t="shared" si="1"/>
        <v>3</v>
      </c>
      <c r="R18" s="36"/>
      <c r="S18" s="36"/>
      <c r="T18" s="36"/>
      <c r="U18" s="36"/>
      <c r="V18" s="36"/>
      <c r="W18" s="36"/>
    </row>
    <row r="19" spans="1:23" ht="15" thickBot="1" x14ac:dyDescent="0.35">
      <c r="A19" s="16">
        <v>17</v>
      </c>
      <c r="B19" s="28">
        <v>43784</v>
      </c>
      <c r="C19" s="82" t="s">
        <v>3</v>
      </c>
      <c r="D19" s="16">
        <v>2</v>
      </c>
      <c r="E19" s="82" t="s">
        <v>42</v>
      </c>
      <c r="F19" s="16">
        <v>3</v>
      </c>
      <c r="G19" s="18" t="s">
        <v>48</v>
      </c>
      <c r="H19" s="13" t="s">
        <v>50</v>
      </c>
      <c r="I19" s="14">
        <v>2</v>
      </c>
      <c r="J19" s="14">
        <v>4</v>
      </c>
      <c r="P19" s="45">
        <f t="shared" si="0"/>
        <v>-1</v>
      </c>
      <c r="Q19" s="46">
        <f t="shared" si="1"/>
        <v>1</v>
      </c>
      <c r="R19" s="36"/>
      <c r="S19" s="36"/>
      <c r="T19" s="36"/>
      <c r="U19" s="36"/>
      <c r="V19" s="36"/>
      <c r="W19" s="36"/>
    </row>
    <row r="20" spans="1:23" ht="15" thickBot="1" x14ac:dyDescent="0.35">
      <c r="A20" s="16">
        <v>18</v>
      </c>
      <c r="B20" s="28">
        <v>43785</v>
      </c>
      <c r="C20" s="82" t="s">
        <v>4</v>
      </c>
      <c r="D20" s="16">
        <v>8</v>
      </c>
      <c r="E20" s="82" t="s">
        <v>47</v>
      </c>
      <c r="F20" s="16">
        <v>0</v>
      </c>
      <c r="G20" s="18"/>
      <c r="H20" s="13" t="s">
        <v>58</v>
      </c>
      <c r="I20" s="14">
        <v>5</v>
      </c>
      <c r="J20" s="14">
        <v>7</v>
      </c>
      <c r="P20" s="45">
        <f t="shared" si="0"/>
        <v>8</v>
      </c>
      <c r="Q20" s="46">
        <f t="shared" si="1"/>
        <v>8</v>
      </c>
      <c r="R20" s="36"/>
      <c r="S20" s="36"/>
      <c r="T20" s="36"/>
      <c r="U20" s="36"/>
      <c r="V20" s="36"/>
      <c r="W20" s="36"/>
    </row>
    <row r="21" spans="1:23" ht="15" thickBot="1" x14ac:dyDescent="0.35">
      <c r="A21" s="16">
        <v>19</v>
      </c>
      <c r="B21" s="28">
        <v>43785</v>
      </c>
      <c r="C21" s="82" t="s">
        <v>42</v>
      </c>
      <c r="D21" s="16">
        <v>4</v>
      </c>
      <c r="E21" s="82" t="s">
        <v>39</v>
      </c>
      <c r="F21" s="16">
        <v>2</v>
      </c>
      <c r="G21" s="18"/>
      <c r="H21" s="13" t="s">
        <v>53</v>
      </c>
      <c r="I21" s="14">
        <v>4</v>
      </c>
      <c r="J21" s="14">
        <v>3</v>
      </c>
      <c r="P21" s="45">
        <f t="shared" si="0"/>
        <v>2</v>
      </c>
      <c r="Q21" s="46">
        <f t="shared" si="1"/>
        <v>2</v>
      </c>
      <c r="R21" s="36"/>
      <c r="S21" s="36"/>
      <c r="T21" s="36"/>
      <c r="U21" s="36"/>
      <c r="V21" s="36"/>
      <c r="W21" s="36"/>
    </row>
    <row r="22" spans="1:23" ht="15" thickBot="1" x14ac:dyDescent="0.35">
      <c r="A22" s="16">
        <v>20</v>
      </c>
      <c r="B22" s="28">
        <v>43786</v>
      </c>
      <c r="C22" s="82" t="s">
        <v>3</v>
      </c>
      <c r="D22" s="16">
        <v>3</v>
      </c>
      <c r="E22" s="82" t="s">
        <v>4</v>
      </c>
      <c r="F22" s="16">
        <v>2</v>
      </c>
      <c r="G22" s="18"/>
      <c r="H22" s="13" t="s">
        <v>63</v>
      </c>
      <c r="I22" s="14">
        <v>2</v>
      </c>
      <c r="J22" s="14">
        <v>5</v>
      </c>
      <c r="P22" s="45">
        <f t="shared" si="0"/>
        <v>1</v>
      </c>
      <c r="Q22" s="46">
        <f t="shared" si="1"/>
        <v>1</v>
      </c>
      <c r="R22" s="36"/>
      <c r="S22" s="36"/>
      <c r="T22" s="36"/>
      <c r="U22" s="36"/>
      <c r="V22" s="36"/>
      <c r="W22" s="36"/>
    </row>
    <row r="23" spans="1:23" ht="15" thickBot="1" x14ac:dyDescent="0.35">
      <c r="A23" s="16">
        <v>21</v>
      </c>
      <c r="B23" s="28">
        <v>43792</v>
      </c>
      <c r="C23" s="82" t="s">
        <v>4</v>
      </c>
      <c r="D23" s="16">
        <v>5</v>
      </c>
      <c r="E23" s="82" t="s">
        <v>39</v>
      </c>
      <c r="F23" s="16">
        <v>4</v>
      </c>
      <c r="G23" s="18"/>
      <c r="H23" s="13" t="s">
        <v>58</v>
      </c>
      <c r="I23" s="14">
        <v>5</v>
      </c>
      <c r="J23" s="14">
        <v>3</v>
      </c>
      <c r="P23" s="45">
        <f t="shared" si="0"/>
        <v>1</v>
      </c>
      <c r="Q23" s="46">
        <f t="shared" si="1"/>
        <v>1</v>
      </c>
      <c r="R23" s="36"/>
      <c r="S23" s="36"/>
      <c r="T23" s="36"/>
      <c r="U23" s="36"/>
      <c r="V23" s="36"/>
      <c r="W23" s="36"/>
    </row>
    <row r="24" spans="1:23" ht="15" thickBot="1" x14ac:dyDescent="0.35">
      <c r="A24" s="16">
        <v>22</v>
      </c>
      <c r="B24" s="28">
        <v>43793</v>
      </c>
      <c r="C24" s="82" t="s">
        <v>39</v>
      </c>
      <c r="D24" s="16">
        <v>3</v>
      </c>
      <c r="E24" s="82" t="s">
        <v>47</v>
      </c>
      <c r="F24" s="16">
        <v>7</v>
      </c>
      <c r="G24" s="18"/>
      <c r="H24" s="13" t="s">
        <v>64</v>
      </c>
      <c r="I24" s="14">
        <v>3</v>
      </c>
      <c r="J24" s="14">
        <v>7</v>
      </c>
      <c r="P24" s="45">
        <f t="shared" si="0"/>
        <v>-4</v>
      </c>
      <c r="Q24" s="46">
        <f t="shared" si="1"/>
        <v>4</v>
      </c>
      <c r="R24" s="36"/>
      <c r="S24" s="36"/>
      <c r="T24" s="36"/>
      <c r="U24" s="36"/>
      <c r="V24" s="36"/>
      <c r="W24" s="36"/>
    </row>
    <row r="25" spans="1:23" ht="15" thickBot="1" x14ac:dyDescent="0.35">
      <c r="A25" s="16">
        <v>23</v>
      </c>
      <c r="B25" s="28">
        <v>43805</v>
      </c>
      <c r="C25" s="82" t="s">
        <v>5</v>
      </c>
      <c r="D25" s="16">
        <v>5</v>
      </c>
      <c r="E25" s="82" t="s">
        <v>3</v>
      </c>
      <c r="F25" s="16">
        <v>4</v>
      </c>
      <c r="G25" s="18"/>
      <c r="H25" s="13" t="s">
        <v>54</v>
      </c>
      <c r="I25" s="14">
        <v>1</v>
      </c>
      <c r="J25" s="14">
        <v>2</v>
      </c>
      <c r="P25" s="45">
        <f t="shared" si="0"/>
        <v>1</v>
      </c>
      <c r="Q25" s="46">
        <f t="shared" si="1"/>
        <v>1</v>
      </c>
      <c r="R25" s="36"/>
      <c r="S25" s="36"/>
      <c r="T25" s="36"/>
      <c r="U25" s="36"/>
      <c r="V25" s="36"/>
      <c r="W25" s="36"/>
    </row>
    <row r="26" spans="1:23" ht="15" thickBot="1" x14ac:dyDescent="0.35">
      <c r="A26" s="16">
        <v>24</v>
      </c>
      <c r="B26" s="28">
        <v>43806</v>
      </c>
      <c r="C26" s="82" t="s">
        <v>28</v>
      </c>
      <c r="D26" s="16">
        <v>4</v>
      </c>
      <c r="E26" s="82" t="s">
        <v>5</v>
      </c>
      <c r="F26" s="16">
        <v>5</v>
      </c>
      <c r="G26" s="18"/>
      <c r="H26" s="13" t="s">
        <v>56</v>
      </c>
      <c r="I26" s="14">
        <v>6</v>
      </c>
      <c r="J26" s="14">
        <v>1</v>
      </c>
      <c r="N26">
        <f>LOOKUP(C27,M1:M8,N1:N8)</f>
        <v>6</v>
      </c>
      <c r="P26" s="45">
        <f t="shared" si="0"/>
        <v>-1</v>
      </c>
      <c r="Q26" s="46">
        <f t="shared" si="1"/>
        <v>1</v>
      </c>
      <c r="R26" s="36"/>
      <c r="S26" s="36"/>
      <c r="T26" s="36"/>
      <c r="U26" s="36"/>
      <c r="V26" s="36"/>
      <c r="W26" s="36"/>
    </row>
    <row r="27" spans="1:23" ht="15" thickBot="1" x14ac:dyDescent="0.35">
      <c r="A27" s="16">
        <v>25</v>
      </c>
      <c r="B27" s="28">
        <v>43812</v>
      </c>
      <c r="C27" s="82" t="s">
        <v>28</v>
      </c>
      <c r="D27" s="16">
        <v>6</v>
      </c>
      <c r="E27" s="82" t="s">
        <v>3</v>
      </c>
      <c r="F27" s="16">
        <v>5</v>
      </c>
      <c r="G27" s="18"/>
      <c r="H27" s="13" t="s">
        <v>65</v>
      </c>
      <c r="I27" s="14">
        <v>6</v>
      </c>
      <c r="J27" s="14">
        <v>2</v>
      </c>
      <c r="O27">
        <f>LOOKUP(E27,M1:M8,N1:N8)</f>
        <v>2</v>
      </c>
      <c r="P27" s="45">
        <f t="shared" si="0"/>
        <v>1</v>
      </c>
      <c r="Q27" s="46">
        <f t="shared" si="1"/>
        <v>1</v>
      </c>
      <c r="R27" s="36"/>
      <c r="S27" s="36"/>
      <c r="T27" s="36"/>
      <c r="U27" s="36"/>
      <c r="V27" s="36"/>
      <c r="W27" s="36"/>
    </row>
    <row r="28" spans="1:23" ht="15" thickBot="1" x14ac:dyDescent="0.35">
      <c r="A28" s="16">
        <v>42</v>
      </c>
      <c r="B28" s="28">
        <v>43841</v>
      </c>
      <c r="C28" s="82" t="s">
        <v>3</v>
      </c>
      <c r="D28" s="16">
        <v>5</v>
      </c>
      <c r="E28" s="82" t="s">
        <v>39</v>
      </c>
      <c r="F28" s="16">
        <v>3</v>
      </c>
      <c r="G28" s="18"/>
      <c r="H28" s="13" t="s">
        <v>63</v>
      </c>
      <c r="I28" s="14">
        <v>2</v>
      </c>
      <c r="J28" s="14">
        <v>3</v>
      </c>
      <c r="P28" s="45">
        <f t="shared" si="0"/>
        <v>2</v>
      </c>
      <c r="Q28" s="46">
        <f t="shared" si="1"/>
        <v>2</v>
      </c>
      <c r="R28" s="36"/>
      <c r="S28" s="36"/>
      <c r="T28" s="36"/>
      <c r="U28" s="36"/>
      <c r="V28" s="36"/>
      <c r="W28" s="36"/>
    </row>
    <row r="29" spans="1:23" ht="15" thickBot="1" x14ac:dyDescent="0.35">
      <c r="A29" s="16">
        <v>26</v>
      </c>
      <c r="B29" s="28">
        <v>43847</v>
      </c>
      <c r="C29" s="82" t="s">
        <v>3</v>
      </c>
      <c r="D29" s="16">
        <v>6</v>
      </c>
      <c r="E29" s="82" t="s">
        <v>47</v>
      </c>
      <c r="F29" s="16">
        <v>4</v>
      </c>
      <c r="G29" s="18"/>
      <c r="H29" s="13" t="s">
        <v>63</v>
      </c>
      <c r="I29" s="14">
        <v>2</v>
      </c>
      <c r="J29" s="14">
        <v>7</v>
      </c>
      <c r="P29" s="45">
        <f t="shared" si="0"/>
        <v>2</v>
      </c>
      <c r="Q29" s="46">
        <f t="shared" si="1"/>
        <v>2</v>
      </c>
      <c r="R29" s="36"/>
      <c r="S29" s="36"/>
      <c r="T29" s="36"/>
      <c r="U29" s="36"/>
      <c r="V29" s="36"/>
      <c r="W29" s="36"/>
    </row>
    <row r="30" spans="1:23" ht="15" thickBot="1" x14ac:dyDescent="0.35">
      <c r="A30" s="16">
        <v>27</v>
      </c>
      <c r="B30" s="28">
        <v>43848</v>
      </c>
      <c r="C30" s="82" t="s">
        <v>39</v>
      </c>
      <c r="D30" s="16">
        <v>2</v>
      </c>
      <c r="E30" s="82" t="s">
        <v>3</v>
      </c>
      <c r="F30" s="16">
        <v>4</v>
      </c>
      <c r="G30" s="18"/>
      <c r="H30" s="13" t="s">
        <v>66</v>
      </c>
      <c r="I30" s="14">
        <v>3</v>
      </c>
      <c r="J30" s="14">
        <v>2</v>
      </c>
      <c r="P30" s="45">
        <f t="shared" si="0"/>
        <v>-2</v>
      </c>
      <c r="Q30" s="46">
        <f t="shared" si="1"/>
        <v>2</v>
      </c>
      <c r="R30" s="36"/>
      <c r="S30" s="36"/>
      <c r="T30" s="36"/>
      <c r="U30" s="36"/>
      <c r="V30" s="36"/>
      <c r="W30" s="36"/>
    </row>
    <row r="31" spans="1:23" ht="15" thickBot="1" x14ac:dyDescent="0.35">
      <c r="A31" s="16">
        <v>28</v>
      </c>
      <c r="B31" s="28">
        <v>43855</v>
      </c>
      <c r="C31" s="82" t="s">
        <v>4</v>
      </c>
      <c r="D31" s="16">
        <v>3</v>
      </c>
      <c r="E31" s="82" t="s">
        <v>3</v>
      </c>
      <c r="F31" s="16">
        <v>4</v>
      </c>
      <c r="G31" s="18" t="s">
        <v>49</v>
      </c>
      <c r="H31" s="13" t="s">
        <v>67</v>
      </c>
      <c r="I31" s="14">
        <v>5</v>
      </c>
      <c r="J31" s="14">
        <v>2</v>
      </c>
      <c r="P31" s="45">
        <f t="shared" si="0"/>
        <v>-1</v>
      </c>
      <c r="Q31" s="46">
        <f t="shared" si="1"/>
        <v>1</v>
      </c>
      <c r="R31" s="36"/>
      <c r="S31" s="36"/>
      <c r="T31" s="36"/>
      <c r="U31" s="36"/>
      <c r="V31" s="36"/>
      <c r="W31" s="36"/>
    </row>
    <row r="32" spans="1:23" ht="15" thickBot="1" x14ac:dyDescent="0.35">
      <c r="A32" s="16">
        <v>29</v>
      </c>
      <c r="B32" s="28">
        <v>43855</v>
      </c>
      <c r="C32" s="82" t="s">
        <v>42</v>
      </c>
      <c r="D32" s="16">
        <v>2</v>
      </c>
      <c r="E32" s="82" t="s">
        <v>5</v>
      </c>
      <c r="F32" s="16">
        <v>5</v>
      </c>
      <c r="G32" s="18"/>
      <c r="H32" s="13" t="s">
        <v>56</v>
      </c>
      <c r="I32" s="14">
        <v>4</v>
      </c>
      <c r="J32" s="14">
        <v>1</v>
      </c>
      <c r="P32" s="45">
        <f t="shared" si="0"/>
        <v>-3</v>
      </c>
      <c r="Q32" s="46">
        <f t="shared" si="1"/>
        <v>3</v>
      </c>
      <c r="R32" s="36"/>
      <c r="S32" s="36"/>
      <c r="T32" s="36"/>
      <c r="U32" s="36"/>
      <c r="V32" s="36"/>
      <c r="W32" s="36"/>
    </row>
    <row r="33" spans="1:23" ht="15" thickBot="1" x14ac:dyDescent="0.35">
      <c r="A33" s="16">
        <v>30</v>
      </c>
      <c r="B33" s="28">
        <v>43855</v>
      </c>
      <c r="C33" s="82" t="s">
        <v>28</v>
      </c>
      <c r="D33" s="16">
        <v>4</v>
      </c>
      <c r="E33" s="82" t="s">
        <v>39</v>
      </c>
      <c r="F33" s="16">
        <v>3</v>
      </c>
      <c r="G33" s="18"/>
      <c r="H33" s="13" t="s">
        <v>65</v>
      </c>
      <c r="I33" s="14">
        <v>6</v>
      </c>
      <c r="J33" s="14">
        <v>3</v>
      </c>
      <c r="P33" s="45">
        <f t="shared" si="0"/>
        <v>1</v>
      </c>
      <c r="Q33" s="46">
        <f t="shared" si="1"/>
        <v>1</v>
      </c>
      <c r="R33" s="36"/>
      <c r="S33" s="36"/>
      <c r="T33" s="36"/>
      <c r="U33" s="36"/>
      <c r="V33" s="36"/>
      <c r="W33" s="36"/>
    </row>
    <row r="34" spans="1:23" ht="15" thickBot="1" x14ac:dyDescent="0.35">
      <c r="A34" s="16">
        <v>31</v>
      </c>
      <c r="B34" s="28">
        <v>43856</v>
      </c>
      <c r="C34" s="82" t="s">
        <v>4</v>
      </c>
      <c r="D34" s="16">
        <v>5</v>
      </c>
      <c r="E34" s="82" t="s">
        <v>42</v>
      </c>
      <c r="F34" s="16">
        <v>6</v>
      </c>
      <c r="G34" s="18" t="s">
        <v>48</v>
      </c>
      <c r="H34" s="13" t="s">
        <v>50</v>
      </c>
      <c r="I34" s="14">
        <v>5</v>
      </c>
      <c r="J34" s="14">
        <v>4</v>
      </c>
      <c r="P34" s="45">
        <f t="shared" si="0"/>
        <v>-1</v>
      </c>
      <c r="Q34" s="46">
        <f t="shared" si="1"/>
        <v>1</v>
      </c>
      <c r="R34" s="36"/>
      <c r="S34" s="36"/>
      <c r="T34" s="36"/>
      <c r="U34" s="36"/>
      <c r="V34" s="36"/>
      <c r="W34" s="36"/>
    </row>
    <row r="35" spans="1:23" ht="15" thickBot="1" x14ac:dyDescent="0.35">
      <c r="A35" s="16">
        <v>32</v>
      </c>
      <c r="B35" s="28">
        <v>43862</v>
      </c>
      <c r="C35" s="82" t="s">
        <v>47</v>
      </c>
      <c r="D35" s="16">
        <v>2</v>
      </c>
      <c r="E35" s="82" t="s">
        <v>42</v>
      </c>
      <c r="F35" s="16">
        <v>7</v>
      </c>
      <c r="G35" s="18"/>
      <c r="H35" s="13" t="s">
        <v>57</v>
      </c>
      <c r="I35" s="14">
        <v>7</v>
      </c>
      <c r="J35" s="14">
        <v>4</v>
      </c>
      <c r="P35" s="45">
        <f t="shared" si="0"/>
        <v>-5</v>
      </c>
      <c r="Q35" s="46">
        <f t="shared" si="1"/>
        <v>5</v>
      </c>
      <c r="R35" s="36"/>
      <c r="S35" s="36"/>
      <c r="T35" s="36"/>
      <c r="U35" s="36"/>
      <c r="V35" s="36"/>
      <c r="W35" s="36"/>
    </row>
    <row r="36" spans="1:23" ht="15" thickBot="1" x14ac:dyDescent="0.35">
      <c r="A36" s="16">
        <v>33</v>
      </c>
      <c r="B36" s="28">
        <v>43862</v>
      </c>
      <c r="C36" s="82" t="s">
        <v>3</v>
      </c>
      <c r="D36" s="16">
        <v>0</v>
      </c>
      <c r="E36" s="82" t="s">
        <v>28</v>
      </c>
      <c r="F36" s="16">
        <v>6</v>
      </c>
      <c r="G36" s="18"/>
      <c r="H36" s="13" t="s">
        <v>61</v>
      </c>
      <c r="I36" s="14">
        <v>2</v>
      </c>
      <c r="J36" s="14">
        <v>6</v>
      </c>
      <c r="P36" s="45">
        <f t="shared" si="0"/>
        <v>-6</v>
      </c>
      <c r="Q36" s="46">
        <f t="shared" si="1"/>
        <v>6</v>
      </c>
      <c r="R36" s="36"/>
      <c r="S36" s="36"/>
      <c r="T36" s="36"/>
      <c r="U36" s="36"/>
      <c r="V36" s="36"/>
      <c r="W36" s="36"/>
    </row>
    <row r="37" spans="1:23" ht="15" thickBot="1" x14ac:dyDescent="0.35">
      <c r="A37" s="16">
        <v>34</v>
      </c>
      <c r="B37" s="28">
        <v>43862</v>
      </c>
      <c r="C37" s="82" t="s">
        <v>39</v>
      </c>
      <c r="D37" s="16">
        <v>9</v>
      </c>
      <c r="E37" s="82" t="s">
        <v>5</v>
      </c>
      <c r="F37" s="16">
        <v>12</v>
      </c>
      <c r="G37" s="18"/>
      <c r="H37" s="13" t="s">
        <v>56</v>
      </c>
      <c r="I37" s="14">
        <v>3</v>
      </c>
      <c r="J37" s="14">
        <v>1</v>
      </c>
      <c r="P37" s="45">
        <f t="shared" si="0"/>
        <v>-3</v>
      </c>
      <c r="Q37" s="46">
        <f t="shared" si="1"/>
        <v>3</v>
      </c>
      <c r="R37" s="36"/>
      <c r="S37" s="36"/>
      <c r="T37" s="36"/>
      <c r="U37" s="36"/>
      <c r="V37" s="36"/>
      <c r="W37" s="36"/>
    </row>
    <row r="38" spans="1:23" ht="15" thickBot="1" x14ac:dyDescent="0.35">
      <c r="A38" s="16">
        <v>35</v>
      </c>
      <c r="B38" s="28">
        <v>43868</v>
      </c>
      <c r="C38" s="82" t="s">
        <v>47</v>
      </c>
      <c r="D38" s="16">
        <v>0</v>
      </c>
      <c r="E38" s="82" t="s">
        <v>3</v>
      </c>
      <c r="F38" s="16">
        <v>1</v>
      </c>
      <c r="G38" s="18" t="s">
        <v>68</v>
      </c>
      <c r="H38" s="13" t="s">
        <v>69</v>
      </c>
      <c r="I38" s="14">
        <v>7</v>
      </c>
      <c r="J38" s="14">
        <v>2</v>
      </c>
      <c r="P38" s="45"/>
      <c r="Q38" s="46">
        <f t="shared" si="1"/>
        <v>0</v>
      </c>
      <c r="R38" s="36"/>
      <c r="S38" s="36"/>
      <c r="T38" s="36"/>
      <c r="U38" s="36"/>
      <c r="V38" s="36"/>
      <c r="W38" s="36"/>
    </row>
    <row r="39" spans="1:23" ht="15" thickBot="1" x14ac:dyDescent="0.35">
      <c r="A39" s="16">
        <v>36</v>
      </c>
      <c r="B39" s="28">
        <v>43869</v>
      </c>
      <c r="C39" s="82" t="s">
        <v>39</v>
      </c>
      <c r="D39" s="16">
        <v>4</v>
      </c>
      <c r="E39" s="82" t="s">
        <v>28</v>
      </c>
      <c r="F39" s="16">
        <v>3</v>
      </c>
      <c r="G39" s="18"/>
      <c r="H39" s="13" t="s">
        <v>55</v>
      </c>
      <c r="I39" s="14">
        <v>3</v>
      </c>
      <c r="J39" s="14">
        <v>6</v>
      </c>
      <c r="P39" s="45">
        <f t="shared" si="0"/>
        <v>1</v>
      </c>
      <c r="Q39" s="46">
        <f t="shared" si="1"/>
        <v>1</v>
      </c>
      <c r="R39" s="36"/>
      <c r="S39" s="36"/>
      <c r="T39" s="36"/>
      <c r="U39" s="36"/>
      <c r="V39" s="36"/>
      <c r="W39" s="36"/>
    </row>
    <row r="40" spans="1:23" ht="15" thickBot="1" x14ac:dyDescent="0.35">
      <c r="A40" s="16">
        <v>37</v>
      </c>
      <c r="B40" s="28">
        <v>43870</v>
      </c>
      <c r="C40" s="82" t="s">
        <v>5</v>
      </c>
      <c r="D40" s="16">
        <v>2</v>
      </c>
      <c r="E40" s="82" t="s">
        <v>28</v>
      </c>
      <c r="F40" s="16">
        <v>4</v>
      </c>
      <c r="G40" s="18"/>
      <c r="H40" s="13" t="s">
        <v>61</v>
      </c>
      <c r="I40" s="14">
        <v>1</v>
      </c>
      <c r="J40" s="14">
        <v>6</v>
      </c>
      <c r="P40" s="45">
        <f t="shared" si="0"/>
        <v>-2</v>
      </c>
      <c r="Q40" s="46">
        <f t="shared" si="1"/>
        <v>2</v>
      </c>
      <c r="R40" s="36"/>
      <c r="S40" s="36"/>
      <c r="T40" s="36"/>
      <c r="U40" s="36"/>
      <c r="V40" s="36"/>
      <c r="W40" s="36"/>
    </row>
    <row r="41" spans="1:23" ht="15" thickBot="1" x14ac:dyDescent="0.35">
      <c r="A41" s="16">
        <v>38</v>
      </c>
      <c r="B41" s="28">
        <v>43876</v>
      </c>
      <c r="C41" s="82" t="s">
        <v>39</v>
      </c>
      <c r="D41" s="16">
        <v>2</v>
      </c>
      <c r="E41" s="82" t="s">
        <v>4</v>
      </c>
      <c r="F41" s="16">
        <v>1</v>
      </c>
      <c r="G41" s="18"/>
      <c r="H41" s="13" t="s">
        <v>55</v>
      </c>
      <c r="I41" s="14">
        <v>3</v>
      </c>
      <c r="J41" s="14">
        <v>5</v>
      </c>
      <c r="P41" s="45">
        <f t="shared" si="0"/>
        <v>1</v>
      </c>
      <c r="Q41" s="46">
        <f t="shared" si="1"/>
        <v>1</v>
      </c>
      <c r="R41" s="36"/>
      <c r="S41" s="36"/>
      <c r="T41" s="36"/>
      <c r="U41" s="36"/>
      <c r="V41" s="36"/>
      <c r="W41" s="36"/>
    </row>
    <row r="42" spans="1:23" ht="15" thickBot="1" x14ac:dyDescent="0.35">
      <c r="A42" s="16">
        <v>39</v>
      </c>
      <c r="B42" s="28">
        <v>43876</v>
      </c>
      <c r="C42" s="82" t="s">
        <v>28</v>
      </c>
      <c r="D42" s="16">
        <v>3</v>
      </c>
      <c r="E42" s="82" t="s">
        <v>47</v>
      </c>
      <c r="F42" s="16">
        <v>2</v>
      </c>
      <c r="G42" s="18"/>
      <c r="H42" s="13" t="s">
        <v>65</v>
      </c>
      <c r="I42" s="14">
        <v>6</v>
      </c>
      <c r="J42" s="14">
        <v>7</v>
      </c>
      <c r="P42" s="45">
        <f t="shared" si="0"/>
        <v>1</v>
      </c>
      <c r="Q42" s="46">
        <f t="shared" si="1"/>
        <v>1</v>
      </c>
      <c r="R42" s="36"/>
      <c r="S42" s="36"/>
      <c r="T42" s="36"/>
      <c r="U42" s="36"/>
      <c r="V42" s="36"/>
      <c r="W42" s="36"/>
    </row>
    <row r="43" spans="1:23" ht="15" thickBot="1" x14ac:dyDescent="0.35">
      <c r="A43" s="16">
        <v>40</v>
      </c>
      <c r="B43" s="28">
        <v>43876</v>
      </c>
      <c r="C43" s="82" t="s">
        <v>42</v>
      </c>
      <c r="D43" s="16">
        <v>3</v>
      </c>
      <c r="E43" s="82" t="s">
        <v>3</v>
      </c>
      <c r="F43" s="16">
        <v>2</v>
      </c>
      <c r="G43" s="18"/>
      <c r="H43" s="13" t="s">
        <v>53</v>
      </c>
      <c r="I43" s="14">
        <v>4</v>
      </c>
      <c r="J43" s="14">
        <v>2</v>
      </c>
      <c r="P43" s="45">
        <f t="shared" si="0"/>
        <v>1</v>
      </c>
      <c r="Q43" s="46">
        <f t="shared" si="1"/>
        <v>1</v>
      </c>
      <c r="R43" s="36"/>
      <c r="S43" s="36"/>
      <c r="T43" s="36"/>
      <c r="U43" s="36"/>
      <c r="V43" s="36"/>
      <c r="W43" s="36"/>
    </row>
    <row r="44" spans="1:23" ht="15" thickBot="1" x14ac:dyDescent="0.35">
      <c r="A44" s="16">
        <v>41</v>
      </c>
      <c r="B44" s="28">
        <v>43877</v>
      </c>
      <c r="C44" s="82" t="s">
        <v>3</v>
      </c>
      <c r="D44" s="16">
        <v>7</v>
      </c>
      <c r="E44" s="82" t="s">
        <v>5</v>
      </c>
      <c r="F44" s="16">
        <v>6</v>
      </c>
      <c r="G44" s="18" t="s">
        <v>49</v>
      </c>
      <c r="H44" s="13" t="s">
        <v>67</v>
      </c>
      <c r="I44" s="14">
        <v>2</v>
      </c>
      <c r="J44" s="14">
        <v>1</v>
      </c>
      <c r="P44" s="47">
        <f t="shared" si="0"/>
        <v>1</v>
      </c>
      <c r="Q44" s="48">
        <f t="shared" si="1"/>
        <v>1</v>
      </c>
      <c r="R44" s="36"/>
      <c r="S44" s="36"/>
      <c r="T44" s="36"/>
      <c r="U44" s="36"/>
      <c r="V44" s="36"/>
      <c r="W44" s="36"/>
    </row>
    <row r="45" spans="1:23" ht="15" thickBot="1" x14ac:dyDescent="0.35">
      <c r="A45" s="77"/>
      <c r="B45" s="78"/>
      <c r="C45" s="78"/>
      <c r="D45" s="78"/>
      <c r="E45" s="78"/>
      <c r="F45" s="78"/>
      <c r="G45" s="79"/>
      <c r="H45" s="13"/>
      <c r="I45" s="14"/>
      <c r="J45" s="14"/>
      <c r="W45" s="36"/>
    </row>
    <row r="46" spans="1:23" ht="15" thickBot="1" x14ac:dyDescent="0.35">
      <c r="A46" s="74" t="s">
        <v>77</v>
      </c>
      <c r="B46" s="75"/>
      <c r="C46" s="75"/>
      <c r="D46" s="75"/>
      <c r="E46" s="75"/>
      <c r="F46" s="75"/>
      <c r="G46" s="76"/>
      <c r="H46" s="13"/>
      <c r="I46" s="14"/>
      <c r="J46" s="14"/>
      <c r="W46" s="36"/>
    </row>
    <row r="47" spans="1:23" ht="15" thickBot="1" x14ac:dyDescent="0.35">
      <c r="A47" s="16" t="s">
        <v>74</v>
      </c>
      <c r="B47" s="28">
        <v>43883</v>
      </c>
      <c r="C47" s="82" t="s">
        <v>3</v>
      </c>
      <c r="D47" s="16">
        <v>8</v>
      </c>
      <c r="E47" s="82" t="s">
        <v>42</v>
      </c>
      <c r="F47" s="16">
        <v>4</v>
      </c>
      <c r="G47" s="18"/>
      <c r="H47" s="13"/>
      <c r="I47" s="14"/>
      <c r="J47" s="14"/>
      <c r="W47" s="36"/>
    </row>
    <row r="48" spans="1:23" ht="15" thickBot="1" x14ac:dyDescent="0.35">
      <c r="A48" s="16" t="s">
        <v>75</v>
      </c>
      <c r="B48" s="28">
        <v>43883</v>
      </c>
      <c r="C48" s="82" t="s">
        <v>28</v>
      </c>
      <c r="D48" s="16">
        <v>5</v>
      </c>
      <c r="E48" s="82" t="s">
        <v>5</v>
      </c>
      <c r="F48" s="16">
        <v>2</v>
      </c>
      <c r="G48" s="18"/>
      <c r="H48" s="13"/>
      <c r="I48" s="14"/>
      <c r="J48" s="14"/>
      <c r="W48" s="36"/>
    </row>
    <row r="49" spans="1:23" ht="15" thickBot="1" x14ac:dyDescent="0.35">
      <c r="A49" s="16" t="s">
        <v>76</v>
      </c>
      <c r="B49" s="28">
        <v>43884</v>
      </c>
      <c r="C49" s="82" t="s">
        <v>3</v>
      </c>
      <c r="D49" s="16">
        <v>4</v>
      </c>
      <c r="E49" s="82" t="s">
        <v>28</v>
      </c>
      <c r="F49" s="16">
        <v>1</v>
      </c>
      <c r="G49" s="18"/>
      <c r="H49" s="13"/>
      <c r="I49" s="14"/>
      <c r="J49" s="14"/>
      <c r="W49" s="36"/>
    </row>
    <row r="50" spans="1:23" ht="15" thickBot="1" x14ac:dyDescent="0.35">
      <c r="A50" s="16"/>
      <c r="B50" s="28"/>
      <c r="C50" s="16"/>
      <c r="D50" s="16"/>
      <c r="E50" s="16"/>
      <c r="F50" s="16"/>
      <c r="G50" s="18"/>
      <c r="H50" s="13"/>
      <c r="I50" s="14"/>
      <c r="J50" s="14"/>
    </row>
    <row r="51" spans="1:23" ht="15" thickBot="1" x14ac:dyDescent="0.35">
      <c r="A51" s="16"/>
      <c r="B51" s="28"/>
      <c r="C51" s="16"/>
      <c r="D51" s="16"/>
      <c r="E51" s="16"/>
      <c r="F51" s="16"/>
      <c r="G51" s="18"/>
      <c r="H51" s="13"/>
      <c r="I51" s="14"/>
      <c r="J51" s="14"/>
    </row>
    <row r="52" spans="1:23" ht="15" thickBot="1" x14ac:dyDescent="0.35">
      <c r="A52" s="16"/>
      <c r="B52" s="28"/>
      <c r="C52" s="16"/>
      <c r="D52" s="16"/>
      <c r="E52" s="16"/>
      <c r="F52" s="16"/>
      <c r="G52" s="18"/>
      <c r="H52" s="13"/>
      <c r="I52" s="14"/>
      <c r="J52" s="14"/>
    </row>
    <row r="53" spans="1:23" ht="15" thickBot="1" x14ac:dyDescent="0.35">
      <c r="A53" s="16"/>
      <c r="B53" s="28"/>
      <c r="C53" s="16"/>
      <c r="D53" s="16"/>
      <c r="E53" s="16"/>
      <c r="F53" s="16"/>
      <c r="G53" s="18"/>
      <c r="H53" s="13"/>
      <c r="I53" s="14"/>
      <c r="J53" s="14"/>
    </row>
    <row r="54" spans="1:23" ht="15" thickBot="1" x14ac:dyDescent="0.35">
      <c r="A54" s="16"/>
      <c r="B54" s="28"/>
      <c r="C54" s="16"/>
      <c r="D54" s="16"/>
      <c r="E54" s="16"/>
      <c r="F54" s="16"/>
      <c r="G54" s="18"/>
      <c r="H54" s="13"/>
      <c r="I54" s="14"/>
      <c r="J54" s="14"/>
    </row>
    <row r="55" spans="1:23" ht="15" thickBot="1" x14ac:dyDescent="0.35">
      <c r="A55" s="16"/>
      <c r="B55" s="28"/>
      <c r="C55" s="16"/>
      <c r="D55" s="16"/>
      <c r="E55" s="16"/>
      <c r="F55" s="16"/>
      <c r="G55" s="18"/>
      <c r="H55" s="13"/>
      <c r="I55" s="14"/>
      <c r="J55" s="14"/>
    </row>
    <row r="56" spans="1:23" ht="15" thickBot="1" x14ac:dyDescent="0.35">
      <c r="A56" s="16"/>
      <c r="B56" s="28"/>
      <c r="C56" s="16"/>
      <c r="D56" s="16"/>
      <c r="E56" s="16"/>
      <c r="F56" s="16"/>
      <c r="G56" s="18"/>
      <c r="H56" s="13"/>
      <c r="I56" s="14"/>
      <c r="J56" s="14"/>
    </row>
    <row r="57" spans="1:23" ht="15" thickBot="1" x14ac:dyDescent="0.35">
      <c r="A57" s="16"/>
      <c r="B57" s="28"/>
      <c r="C57" s="16"/>
      <c r="D57" s="16"/>
      <c r="E57" s="16"/>
      <c r="F57" s="16"/>
      <c r="G57" s="18"/>
      <c r="H57" s="13"/>
      <c r="I57" s="14"/>
      <c r="J57" s="14"/>
    </row>
    <row r="58" spans="1:23" ht="15" thickBot="1" x14ac:dyDescent="0.35">
      <c r="A58" s="16"/>
      <c r="B58" s="28"/>
      <c r="C58" s="16"/>
      <c r="D58" s="16"/>
      <c r="E58" s="16"/>
      <c r="F58" s="16"/>
      <c r="G58" s="18"/>
      <c r="H58" s="13"/>
      <c r="I58" s="14"/>
      <c r="J58" s="14"/>
    </row>
    <row r="59" spans="1:23" ht="15" thickBot="1" x14ac:dyDescent="0.35">
      <c r="A59" s="16"/>
      <c r="B59" s="28"/>
      <c r="C59" s="16"/>
      <c r="D59" s="16"/>
      <c r="E59" s="16"/>
      <c r="F59" s="16"/>
      <c r="G59" s="18"/>
      <c r="H59" s="13"/>
      <c r="I59" s="14"/>
      <c r="J59" s="14"/>
    </row>
    <row r="60" spans="1:23" x14ac:dyDescent="0.3">
      <c r="A60" s="12"/>
      <c r="B60" s="29"/>
      <c r="C60" s="83"/>
      <c r="D60" s="11"/>
      <c r="E60" s="83"/>
      <c r="F60" s="11"/>
      <c r="G60" s="10"/>
      <c r="H60" s="13"/>
      <c r="I60" s="14"/>
      <c r="J60" s="14"/>
    </row>
    <row r="61" spans="1:23" x14ac:dyDescent="0.3">
      <c r="A61" s="12"/>
      <c r="B61" s="29"/>
      <c r="C61" s="83"/>
      <c r="D61" s="11"/>
      <c r="E61" s="83"/>
      <c r="F61" s="11"/>
      <c r="G61" s="10"/>
      <c r="H61" s="13"/>
      <c r="I61" s="14"/>
      <c r="J61" s="14"/>
    </row>
    <row r="62" spans="1:23" x14ac:dyDescent="0.3">
      <c r="A62" s="12"/>
      <c r="B62" s="29"/>
      <c r="C62" s="83"/>
      <c r="D62" s="11"/>
      <c r="E62" s="83"/>
      <c r="F62" s="11"/>
      <c r="G62" s="10"/>
      <c r="H62" s="13"/>
      <c r="I62" s="14"/>
      <c r="J62" s="14"/>
    </row>
    <row r="63" spans="1:23" x14ac:dyDescent="0.3">
      <c r="A63" s="12"/>
      <c r="B63" s="29"/>
      <c r="C63" s="83"/>
      <c r="D63" s="11"/>
      <c r="E63" s="83"/>
      <c r="F63" s="11"/>
      <c r="G63" s="10"/>
      <c r="H63" s="13"/>
      <c r="I63" s="14"/>
      <c r="J63" s="14"/>
    </row>
    <row r="64" spans="1:23" x14ac:dyDescent="0.3">
      <c r="A64" s="12"/>
      <c r="B64" s="29"/>
      <c r="C64" s="83"/>
      <c r="D64" s="11"/>
      <c r="E64" s="83"/>
      <c r="F64" s="11"/>
      <c r="G64" s="10"/>
      <c r="H64" s="13"/>
      <c r="I64" s="14"/>
      <c r="J64" s="14"/>
    </row>
    <row r="65" spans="1:10" x14ac:dyDescent="0.3">
      <c r="A65" s="12"/>
      <c r="B65" s="29"/>
      <c r="C65" s="83"/>
      <c r="D65" s="11"/>
      <c r="E65" s="83"/>
      <c r="F65" s="11"/>
      <c r="G65" s="10"/>
      <c r="H65" s="13"/>
      <c r="I65" s="14"/>
      <c r="J65" s="14"/>
    </row>
    <row r="66" spans="1:10" x14ac:dyDescent="0.3">
      <c r="A66" s="12"/>
      <c r="B66" s="29"/>
      <c r="C66" s="83"/>
      <c r="D66" s="11"/>
      <c r="E66" s="83"/>
      <c r="F66" s="11"/>
      <c r="G66" s="10"/>
      <c r="H66" s="13"/>
      <c r="I66" s="14"/>
      <c r="J66" s="14"/>
    </row>
    <row r="67" spans="1:10" x14ac:dyDescent="0.3">
      <c r="A67" s="12"/>
      <c r="B67" s="29"/>
      <c r="C67" s="83"/>
      <c r="D67" s="11"/>
      <c r="E67" s="83"/>
      <c r="F67" s="11"/>
      <c r="G67" s="10"/>
      <c r="H67" s="13"/>
      <c r="I67" s="14"/>
      <c r="J67" s="14"/>
    </row>
    <row r="68" spans="1:10" x14ac:dyDescent="0.3">
      <c r="A68" s="12"/>
      <c r="B68" s="29"/>
      <c r="C68" s="83"/>
      <c r="D68" s="11"/>
      <c r="E68" s="83"/>
      <c r="F68" s="11"/>
      <c r="G68" s="10"/>
      <c r="H68" s="13"/>
      <c r="I68" s="14"/>
      <c r="J68" s="14"/>
    </row>
    <row r="69" spans="1:10" x14ac:dyDescent="0.3">
      <c r="A69" s="12"/>
      <c r="B69" s="29"/>
      <c r="C69" s="83"/>
      <c r="D69" s="11"/>
      <c r="E69" s="83"/>
      <c r="F69" s="11"/>
      <c r="G69" s="10"/>
      <c r="H69" s="13"/>
      <c r="I69" s="14"/>
      <c r="J69" s="14"/>
    </row>
    <row r="70" spans="1:10" x14ac:dyDescent="0.3">
      <c r="A70" s="12"/>
      <c r="B70" s="29"/>
      <c r="C70" s="83"/>
      <c r="D70" s="11"/>
      <c r="E70" s="83"/>
      <c r="F70" s="11"/>
      <c r="G70" s="10"/>
      <c r="H70" s="13"/>
      <c r="I70" s="14"/>
      <c r="J70" s="14"/>
    </row>
    <row r="71" spans="1:10" x14ac:dyDescent="0.3">
      <c r="A71" s="12"/>
      <c r="B71" s="29"/>
      <c r="C71" s="83"/>
      <c r="D71" s="11"/>
      <c r="E71" s="83"/>
      <c r="F71" s="11"/>
      <c r="G71" s="10"/>
      <c r="H71" s="13"/>
      <c r="I71" s="14"/>
      <c r="J71" s="14"/>
    </row>
    <row r="72" spans="1:10" x14ac:dyDescent="0.3">
      <c r="A72" s="12"/>
      <c r="B72" s="29"/>
      <c r="C72" s="83"/>
      <c r="D72" s="11"/>
      <c r="E72" s="83"/>
      <c r="F72" s="11"/>
      <c r="G72" s="10"/>
      <c r="H72" s="13"/>
      <c r="I72" s="14"/>
      <c r="J72" s="14"/>
    </row>
    <row r="73" spans="1:10" x14ac:dyDescent="0.3">
      <c r="A73" s="8"/>
      <c r="B73" s="30"/>
      <c r="C73" s="83"/>
      <c r="D73" s="11"/>
      <c r="E73" s="83"/>
      <c r="F73" s="11"/>
      <c r="G73" s="9"/>
      <c r="H73" s="13"/>
      <c r="I73" s="14"/>
      <c r="J73" s="14"/>
    </row>
    <row r="74" spans="1:10" x14ac:dyDescent="0.3">
      <c r="A74" s="8"/>
      <c r="B74" s="30"/>
      <c r="C74" s="84"/>
      <c r="D74" s="8"/>
      <c r="E74" s="84"/>
      <c r="F74" s="8"/>
      <c r="G74" s="9"/>
      <c r="H74" s="13"/>
      <c r="I74" s="14"/>
      <c r="J74" s="14"/>
    </row>
    <row r="75" spans="1:10" x14ac:dyDescent="0.3">
      <c r="A75" s="8"/>
      <c r="B75" s="30"/>
      <c r="C75" s="84"/>
      <c r="D75" s="8"/>
      <c r="E75" s="84"/>
      <c r="F75" s="8"/>
      <c r="G75" s="9"/>
      <c r="H75" s="13"/>
      <c r="I75" s="14"/>
      <c r="J75" s="14"/>
    </row>
    <row r="76" spans="1:10" x14ac:dyDescent="0.3">
      <c r="A76" s="8"/>
      <c r="B76" s="30"/>
      <c r="C76" s="84"/>
      <c r="D76" s="8"/>
      <c r="E76" s="84"/>
      <c r="F76" s="8"/>
      <c r="G76" s="9"/>
      <c r="H76" s="13"/>
      <c r="I76" s="14"/>
      <c r="J76" s="14"/>
    </row>
    <row r="77" spans="1:10" x14ac:dyDescent="0.3">
      <c r="A77" s="8"/>
      <c r="B77" s="30"/>
      <c r="C77" s="84"/>
      <c r="D77" s="8"/>
      <c r="E77" s="84"/>
      <c r="F77" s="8"/>
      <c r="G77" s="9"/>
      <c r="H77" s="13"/>
      <c r="I77" s="14"/>
      <c r="J77" s="14"/>
    </row>
    <row r="78" spans="1:10" x14ac:dyDescent="0.3">
      <c r="A78" s="8"/>
      <c r="B78" s="30"/>
      <c r="C78" s="84"/>
      <c r="D78" s="8"/>
      <c r="E78" s="84"/>
      <c r="F78" s="8"/>
      <c r="G78" s="9"/>
      <c r="H78" s="13"/>
      <c r="I78" s="14"/>
      <c r="J78" s="14"/>
    </row>
    <row r="79" spans="1:10" x14ac:dyDescent="0.3">
      <c r="A79" s="8"/>
      <c r="B79" s="30"/>
      <c r="C79" s="84"/>
      <c r="D79" s="8"/>
      <c r="E79" s="84"/>
      <c r="F79" s="8"/>
      <c r="G79" s="9"/>
      <c r="H79" s="13"/>
      <c r="I79" s="14"/>
      <c r="J79" s="14"/>
    </row>
    <row r="80" spans="1:10" x14ac:dyDescent="0.3">
      <c r="A80" s="8"/>
      <c r="B80" s="30"/>
      <c r="C80" s="84"/>
      <c r="D80" s="8"/>
      <c r="E80" s="84"/>
      <c r="F80" s="8"/>
      <c r="G80" s="9"/>
      <c r="H80" s="13"/>
      <c r="I80" s="14"/>
      <c r="J80" s="14"/>
    </row>
    <row r="81" spans="3:8" x14ac:dyDescent="0.3">
      <c r="C81" s="84"/>
      <c r="D81" s="8"/>
      <c r="E81" s="84"/>
      <c r="F81" s="8"/>
    </row>
    <row r="82" spans="3:8" x14ac:dyDescent="0.3">
      <c r="H82">
        <f>D83+F83</f>
        <v>432</v>
      </c>
    </row>
    <row r="83" spans="3:8" x14ac:dyDescent="0.3">
      <c r="D83" s="1">
        <f>SUM(D3:D81)</f>
        <v>216</v>
      </c>
      <c r="F83" s="1">
        <f>SUM(F3:F81)</f>
        <v>216</v>
      </c>
    </row>
  </sheetData>
  <sortState xmlns:xlrd2="http://schemas.microsoft.com/office/spreadsheetml/2017/richdata2" ref="A28:J44">
    <sortCondition ref="B28:B44"/>
  </sortState>
  <mergeCells count="4">
    <mergeCell ref="R1:S1"/>
    <mergeCell ref="R2:S2"/>
    <mergeCell ref="A46:G46"/>
    <mergeCell ref="A45:G45"/>
  </mergeCells>
  <hyperlinks>
    <hyperlink ref="C3" r:id="rId1" xr:uid="{5CD4D46C-5100-4563-B419-4324803F912C}"/>
    <hyperlink ref="C4" r:id="rId2" xr:uid="{A574EF3F-4137-4797-B7F0-1075F6DA3972}"/>
    <hyperlink ref="C7" r:id="rId3" xr:uid="{9CBD432D-83CC-437F-89A2-A560334BAEAE}"/>
    <hyperlink ref="E11" r:id="rId4" xr:uid="{7688A8FD-DD45-47EE-902A-EDEA6BFE0107}"/>
    <hyperlink ref="C12" r:id="rId5" xr:uid="{6E852229-291A-4D91-918D-41D287620FD8}"/>
    <hyperlink ref="C25" r:id="rId6" xr:uid="{A8BBE4A9-B014-4848-A186-E7AB518670D7}"/>
    <hyperlink ref="E32" r:id="rId7" xr:uid="{7C0E78CA-AFBD-4A16-8DC8-9CD57AE17E13}"/>
    <hyperlink ref="E26" r:id="rId8" xr:uid="{D0219EBA-C056-4757-8F9C-191D4820E750}"/>
    <hyperlink ref="E37" r:id="rId9" xr:uid="{58E58F54-8C2C-4F48-926E-7BE46D0BCE70}"/>
    <hyperlink ref="C40" r:id="rId10" xr:uid="{E34E01E3-0323-4EA2-B732-855FA78BB445}"/>
    <hyperlink ref="E9" r:id="rId11" xr:uid="{8B860412-0657-4DD2-B470-4B01837DB987}"/>
    <hyperlink ref="E44" r:id="rId12" xr:uid="{ECE0BE21-606F-4732-8358-36E77154927D}"/>
    <hyperlink ref="E48" r:id="rId13" xr:uid="{C9883847-CD0C-4ED3-AE8E-869E003FC263}"/>
    <hyperlink ref="E3" r:id="rId14" xr:uid="{B748A00B-6C8B-4FF8-9618-F4CB0D73D67A}"/>
    <hyperlink ref="C8" r:id="rId15" xr:uid="{6507F31E-4E84-43EF-8A74-751FCAC6DA33}"/>
    <hyperlink ref="E15" r:id="rId16" xr:uid="{88F110F5-2AC2-41BF-A5DC-31C0AA24ACA1}"/>
    <hyperlink ref="E21" r:id="rId17" xr:uid="{21E985AA-D46C-412D-B032-BAB3C4520B6A}"/>
    <hyperlink ref="C24" r:id="rId18" xr:uid="{07D73852-AD55-42DD-ADCA-AD78D3A5F3E5}"/>
    <hyperlink ref="C30" r:id="rId19" xr:uid="{660FC6DD-0188-4EC6-9363-9EB4FCE5C5AE}"/>
    <hyperlink ref="E23" r:id="rId20" xr:uid="{3F5E17CA-17AF-402C-B1A3-7B5523BE15E4}"/>
    <hyperlink ref="E33" r:id="rId21" xr:uid="{188EE215-ED3C-4DE6-A039-C1914EB19E83}"/>
    <hyperlink ref="C39" r:id="rId22" xr:uid="{21838587-F7C5-4563-B194-2EAED5FDE27D}"/>
    <hyperlink ref="C37" r:id="rId23" xr:uid="{66124AE8-DDDE-416D-9FA0-415EC942B348}"/>
    <hyperlink ref="C41" r:id="rId24" xr:uid="{63B57936-BDC0-4B27-B70B-840395B8FC51}"/>
    <hyperlink ref="E28" r:id="rId25" xr:uid="{7C1C3E6F-2C75-4CF3-9D0C-EC2CA8DDBE1C}"/>
    <hyperlink ref="E4" r:id="rId26" xr:uid="{54309066-9124-48A4-A918-8BCC187E2E2C}"/>
    <hyperlink ref="C6" r:id="rId27" xr:uid="{FF94089F-3C56-4894-8979-1A2DDBA64FA3}"/>
    <hyperlink ref="E8" r:id="rId28" xr:uid="{9E094364-A94E-47BA-8293-7C3A6EA9A749}"/>
    <hyperlink ref="E10" r:id="rId29" xr:uid="{8C113965-D009-4011-B010-F6DD0B476FB6}"/>
    <hyperlink ref="C18" r:id="rId30" xr:uid="{05134A3E-E00A-4F81-AA30-E3E351D54F43}"/>
    <hyperlink ref="C16" r:id="rId31" xr:uid="{8FF5368A-979C-49B0-9394-AF7E5C8E56DD}"/>
    <hyperlink ref="E19" r:id="rId32" xr:uid="{29022F2A-9AAB-4D08-9E93-9637E428EAC4}"/>
    <hyperlink ref="C21" r:id="rId33" xr:uid="{969B6BE5-CA6F-487B-ACF7-34B546D42B60}"/>
    <hyperlink ref="C32" r:id="rId34" xr:uid="{8B8BA731-88B3-483B-B00C-327FF511A2E8}"/>
    <hyperlink ref="E35" r:id="rId35" xr:uid="{24575BED-EFA5-4DA7-8CF2-1207D06AFF8E}"/>
    <hyperlink ref="E34" r:id="rId36" xr:uid="{E8321647-C111-4D95-9D7A-FF0B59E0526F}"/>
    <hyperlink ref="C43" r:id="rId37" xr:uid="{8FA10BF5-9CBF-43F8-8EA9-06B379979CF5}"/>
    <hyperlink ref="C5" r:id="rId38" xr:uid="{877396B9-5FE3-4CE3-834D-210B275A885F}"/>
    <hyperlink ref="C10" r:id="rId39" xr:uid="{B1CDBBF9-0E05-4B0D-BF26-8BA7E89C1801}"/>
    <hyperlink ref="E13" r:id="rId40" xr:uid="{611A358E-87E6-4F77-9B40-28A535CF0486}"/>
    <hyperlink ref="E14" r:id="rId41" xr:uid="{95BD989C-DBE5-4341-B68E-D960DD245823}"/>
    <hyperlink ref="E18" r:id="rId42" xr:uid="{93AF25C9-8F18-46AA-8582-0DF5CF46235C}"/>
    <hyperlink ref="C27" r:id="rId43" xr:uid="{9A79F140-1D3F-476C-BE19-A0C29B1359A1}"/>
    <hyperlink ref="C26" r:id="rId44" xr:uid="{60C71883-CBB0-4634-A4DF-0AF35FAC24FD}"/>
    <hyperlink ref="C33" r:id="rId45" xr:uid="{8488F8DC-A777-467B-AC93-00C90009D72C}"/>
    <hyperlink ref="E36" r:id="rId46" xr:uid="{474E853E-E2DF-4C13-928E-8CE9F9A61E1F}"/>
    <hyperlink ref="E39" r:id="rId47" xr:uid="{BC2E53EE-5BB1-4BD0-88DD-2A83E44C6ED5}"/>
    <hyperlink ref="E40" r:id="rId48" xr:uid="{5ED1D26B-891E-4374-AAFB-D4FF56BA7348}"/>
    <hyperlink ref="C42" r:id="rId49" xr:uid="{AFE438A4-5AA7-4D10-B4DA-11F33829535A}"/>
    <hyperlink ref="E5" r:id="rId50" xr:uid="{44EEC09C-2D0E-4CD5-9541-624DE38BB0D7}"/>
    <hyperlink ref="E6" r:id="rId51" xr:uid="{51A0F52B-E10D-41A6-BF57-DFCCCD58E038}"/>
    <hyperlink ref="C11" r:id="rId52" xr:uid="{022CD992-7B5A-45CE-904A-419207EBA629}"/>
    <hyperlink ref="E12" r:id="rId53" xr:uid="{330CFB5C-8859-4104-82D0-D1ECA99F56A8}"/>
    <hyperlink ref="C14" r:id="rId54" xr:uid="{A053873E-7C4D-449E-82A2-9573DAF605D6}"/>
    <hyperlink ref="E17" r:id="rId55" xr:uid="{D171E81C-6836-4F10-9898-995CF82C2FFD}"/>
    <hyperlink ref="C20" r:id="rId56" xr:uid="{D934A234-2B06-47ED-8BE0-A08745B32CB2}"/>
    <hyperlink ref="E22" r:id="rId57" xr:uid="{7F6E258F-8865-4641-BE5A-C499153D483E}"/>
    <hyperlink ref="C23" r:id="rId58" xr:uid="{AFDA31DD-30A8-48EB-ADE2-BBC6FB0B3F37}"/>
    <hyperlink ref="C31" r:id="rId59" xr:uid="{AA542939-0954-4DF1-BEA1-503095D6BFE6}"/>
    <hyperlink ref="C34" r:id="rId60" xr:uid="{EFDE3960-7AB5-41F0-A113-AB6FD3B247B0}"/>
    <hyperlink ref="E41" r:id="rId61" xr:uid="{34A209E8-4139-4D86-8352-00E493536C51}"/>
    <hyperlink ref="E7" r:id="rId62" xr:uid="{CDABBAF9-59C2-4652-8E81-166BC7D4B2E0}"/>
    <hyperlink ref="C9" r:id="rId63" xr:uid="{1AF30488-3239-4E4B-986E-F7D9ECCEEC97}"/>
    <hyperlink ref="C13" r:id="rId64" xr:uid="{17CCA6E7-162B-40D4-8966-0EEEEEDB2F60}"/>
    <hyperlink ref="C15" r:id="rId65" xr:uid="{DD89FC1B-4AE1-4E96-BA6C-7D4AFA1D8F04}"/>
    <hyperlink ref="E16" r:id="rId66" xr:uid="{86C7A17E-7D25-4951-8869-0013F6F85B9C}"/>
    <hyperlink ref="C17" r:id="rId67" xr:uid="{7488D257-7DF9-41A4-8D19-B8C7E786A476}"/>
    <hyperlink ref="E20" r:id="rId68" xr:uid="{337DA9FA-82CB-45AC-8465-697D1F91B5D2}"/>
    <hyperlink ref="E24" r:id="rId69" xr:uid="{9A7C7375-1066-4A40-BEBE-66505D23606C}"/>
    <hyperlink ref="E29" r:id="rId70" xr:uid="{2106EFBB-476E-40AB-861F-F0475E0C0B2D}"/>
    <hyperlink ref="C35" r:id="rId71" xr:uid="{18E25081-AE3B-4A62-B269-033001DB0B80}"/>
    <hyperlink ref="E42" r:id="rId72" xr:uid="{F34C5018-3F2C-4ABD-9E8A-2A09A075E4CD}"/>
    <hyperlink ref="C38" r:id="rId73" xr:uid="{DFA708CE-7660-4A91-8029-D267271CA586}"/>
    <hyperlink ref="C19" r:id="rId74" xr:uid="{F8B4D497-30C1-4BA7-BEE0-0B33C72BA40D}"/>
    <hyperlink ref="C22" r:id="rId75" xr:uid="{A3FB0FC4-9F90-431E-89A6-9404CCE06AD2}"/>
    <hyperlink ref="E25" r:id="rId76" xr:uid="{5DEA7D6E-8463-423B-8C01-4B849D783787}"/>
    <hyperlink ref="E27" r:id="rId77" xr:uid="{416AA5B3-01D7-41AB-83BC-6BF0275CC6E5}"/>
    <hyperlink ref="C28" r:id="rId78" xr:uid="{19E32E1E-4D9E-418A-BC61-37CACC12F4B5}"/>
    <hyperlink ref="C29" r:id="rId79" xr:uid="{EA622BBC-350F-4BC2-8CBC-986B1CBDE8BB}"/>
    <hyperlink ref="E30" r:id="rId80" xr:uid="{B4A207CE-D618-4277-A101-AC78C984957E}"/>
    <hyperlink ref="E31" r:id="rId81" xr:uid="{50D19BD2-5A1C-4C84-8DBC-A6F9EC6BEC69}"/>
    <hyperlink ref="C36" r:id="rId82" xr:uid="{746195CA-67A5-433A-A82D-B9832D76E1E4}"/>
    <hyperlink ref="E38" r:id="rId83" xr:uid="{D477EA9C-7F6D-4BCB-9453-BFFC39BCD931}"/>
    <hyperlink ref="E43" r:id="rId84" xr:uid="{38DDBEA4-6D02-43F8-BA4D-D8D847EF5C6C}"/>
    <hyperlink ref="C44" r:id="rId85" xr:uid="{2426D76E-A004-4108-A944-754377860CEB}"/>
    <hyperlink ref="C47" r:id="rId86" xr:uid="{31239E8C-DE63-4E40-B9EE-A5D85BBA0F84}"/>
    <hyperlink ref="C49" r:id="rId87" xr:uid="{1109498F-0147-439E-A2E2-4ADDF10E52D6}"/>
    <hyperlink ref="C48" r:id="rId88" xr:uid="{B05093E4-03AA-4981-BF15-1F1CDCE0FDC7}"/>
    <hyperlink ref="E49" r:id="rId89" xr:uid="{7A63FE87-2260-464B-B469-C48534258B11}"/>
    <hyperlink ref="E47" r:id="rId90" xr:uid="{E7A01133-8A44-4E0C-82B2-8782E4DF423E}"/>
  </hyperlinks>
  <pageMargins left="0.7" right="0.7" top="0.75" bottom="0.75" header="0.3" footer="0.3"/>
  <pageSetup orientation="portrait" verticalDpi="2" r:id="rId9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13</v>
      </c>
      <c r="B1" s="1" t="s">
        <v>12</v>
      </c>
      <c r="C1" s="1" t="s">
        <v>0</v>
      </c>
      <c r="D1" s="1" t="s">
        <v>32</v>
      </c>
      <c r="E1" s="1" t="s">
        <v>1</v>
      </c>
      <c r="F1" s="1" t="s">
        <v>33</v>
      </c>
      <c r="G1" s="1" t="s">
        <v>34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30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27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30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30</v>
      </c>
      <c r="D6" s="17"/>
      <c r="E6" s="17" t="s">
        <v>28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27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28</v>
      </c>
      <c r="D9" s="17"/>
      <c r="E9" s="17" t="s">
        <v>27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30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27</v>
      </c>
      <c r="D13" s="17"/>
      <c r="E13" s="17" t="s">
        <v>28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30</v>
      </c>
      <c r="D16" s="17"/>
      <c r="E16" s="17" t="s">
        <v>27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31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27</v>
      </c>
      <c r="D18" s="17"/>
      <c r="E18" s="17" t="s">
        <v>30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31</v>
      </c>
      <c r="D19" s="17"/>
      <c r="E19" s="17" t="s">
        <v>30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28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31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28</v>
      </c>
      <c r="D23" s="17"/>
      <c r="E23" s="17" t="s">
        <v>31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30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28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31</v>
      </c>
      <c r="D26" s="17"/>
      <c r="E26" s="17" t="s">
        <v>27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30</v>
      </c>
      <c r="D28" s="17"/>
      <c r="E28" s="17" t="s">
        <v>31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27</v>
      </c>
      <c r="D29" s="17"/>
      <c r="E29" s="17" t="s">
        <v>31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28</v>
      </c>
      <c r="D30" s="17"/>
      <c r="E30" s="17" t="s">
        <v>30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31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27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30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27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30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27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31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31</v>
      </c>
      <c r="D44" s="17"/>
      <c r="E44" s="17" t="s">
        <v>28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30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31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27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28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28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28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31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28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27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29</v>
      </c>
      <c r="D64" s="17"/>
      <c r="E64" s="17" t="s">
        <v>30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28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28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31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27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31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2020-04-21T18:47:56Z</dcterms:modified>
</cp:coreProperties>
</file>