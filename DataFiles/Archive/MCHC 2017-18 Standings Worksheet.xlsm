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0" documentId="8_{F373D3CB-B279-490E-A8CC-82B9ADAFEE20}" xr6:coauthVersionLast="47" xr6:coauthVersionMax="47" xr10:uidLastSave="{00000000-0000-0000-0000-000000000000}"/>
  <bookViews>
    <workbookView xWindow="28680" yWindow="-120" windowWidth="29040" windowHeight="17025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" i="1" l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O27" i="1" l="1"/>
  <c r="N27" i="1"/>
  <c r="S12" i="1" l="1"/>
  <c r="J16" i="2"/>
  <c r="I16" i="2"/>
  <c r="F101" i="1"/>
  <c r="D101" i="1"/>
  <c r="S5" i="1" l="1"/>
  <c r="S3" i="1"/>
  <c r="S17" i="1"/>
  <c r="S15" i="1"/>
  <c r="S19" i="1"/>
  <c r="S16" i="1"/>
  <c r="S18" i="1"/>
  <c r="S9" i="1"/>
  <c r="S13" i="1"/>
  <c r="S8" i="1"/>
  <c r="S10" i="1"/>
  <c r="S7" i="1"/>
  <c r="S4" i="1"/>
  <c r="S14" i="1"/>
  <c r="S11" i="1"/>
  <c r="S6" i="1"/>
  <c r="H100" i="1"/>
  <c r="S20" i="1" l="1"/>
</calcChain>
</file>

<file path=xl/sharedStrings.xml><?xml version="1.0" encoding="utf-8"?>
<sst xmlns="http://schemas.openxmlformats.org/spreadsheetml/2006/main" count="489" uniqueCount="139">
  <si>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</si>
  <si>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</si>
  <si>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</si>
  <si>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</si>
  <si>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</si>
  <si>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</si>
  <si>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</si>
  <si>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</si>
  <si>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</si>
  <si>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</si>
  <si>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</si>
  <si>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MCHC STANDINGS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</si>
  <si>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</si>
  <si>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</si>
  <si>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</si>
  <si>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</si>
  <si>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</si>
  <si>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</si>
  <si>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</si>
  <si>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</si>
  <si>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</si>
  <si>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</si>
  <si>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</si>
  <si>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</si>
  <si>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</si>
  <si>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</si>
  <si>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</si>
  <si>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</si>
  <si>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</si>
  <si>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</si>
  <si>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</si>
  <si>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</si>
  <si>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</si>
  <si>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</si>
  <si>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</si>
  <si>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</si>
  <si>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HOFSTRA</t>
  </si>
  <si>
    <t>FORDHAM</t>
  </si>
  <si>
    <t>SUFFOLK</t>
  </si>
  <si>
    <t>STEVENS</t>
  </si>
  <si>
    <t>RAMAPO</t>
  </si>
  <si>
    <t>COLUMBIA</t>
  </si>
  <si>
    <t>KINGS POINT</t>
  </si>
  <si>
    <t>Ramapo</t>
  </si>
  <si>
    <t>Sunday, September 24, 2017</t>
  </si>
  <si>
    <t>Friday, September 29, 2017</t>
  </si>
  <si>
    <t>Saturday, September 30, 2017</t>
  </si>
  <si>
    <t>Sunday, October 01, 2017</t>
  </si>
  <si>
    <t>Saturday, October 07, 2017</t>
  </si>
  <si>
    <t>Sunday, October 08, 2017</t>
  </si>
  <si>
    <t>Friday, October 13, 2017</t>
  </si>
  <si>
    <t>Saturday, October 14, 2017</t>
  </si>
  <si>
    <t>Sunday, October 15, 2017</t>
  </si>
  <si>
    <t>Friday, October 20, 2017</t>
  </si>
  <si>
    <t>Saturday, October 21, 2017</t>
  </si>
  <si>
    <t>Sunday, October 22, 2017</t>
  </si>
  <si>
    <t>Friday, October 27, 2017</t>
  </si>
  <si>
    <t>Saturday, October 28, 2017</t>
  </si>
  <si>
    <t>Sunday, October 29, 2017</t>
  </si>
  <si>
    <t>Saturday, November 04, 2017</t>
  </si>
  <si>
    <t>Sunday, November 05, 2017</t>
  </si>
  <si>
    <t>Friday, November 10, 2017</t>
  </si>
  <si>
    <t>Saturday, November 11, 2017</t>
  </si>
  <si>
    <t>Sunday, November 12, 2017</t>
  </si>
  <si>
    <t>Friday, November 17, 2017</t>
  </si>
  <si>
    <t>Saturday, November 18, 2017</t>
  </si>
  <si>
    <t>Friday, December 01, 2017</t>
  </si>
  <si>
    <t>Saturday, December 02, 2017</t>
  </si>
  <si>
    <t>Sunday, December 03, 2017</t>
  </si>
  <si>
    <t>Friday, December 08, 2017</t>
  </si>
  <si>
    <t>Saturday, December 09, 2017</t>
  </si>
  <si>
    <t>Sunday, December 10, 2017</t>
  </si>
  <si>
    <t>Saturday, January 13, 2018</t>
  </si>
  <si>
    <t>Saturday, January 20, 2018</t>
  </si>
  <si>
    <t>Sunday, January 21, 2018</t>
  </si>
  <si>
    <t>Friday, January 26, 2018</t>
  </si>
  <si>
    <t>Saturday, January 27, 2018</t>
  </si>
  <si>
    <t>Friday, February 02, 2018</t>
  </si>
  <si>
    <t>Saturday, February 03, 2018</t>
  </si>
  <si>
    <t>Friday, February 09, 2018</t>
  </si>
  <si>
    <t>Saturday, February 10, 2018</t>
  </si>
  <si>
    <t>Maritime</t>
  </si>
  <si>
    <t>Ramapo (Home) Wins</t>
  </si>
  <si>
    <t>MARITIME</t>
  </si>
  <si>
    <t>ST THOMAS</t>
  </si>
  <si>
    <t>Hofstra (Home) Wins</t>
  </si>
  <si>
    <t>Fordham (Away) Wins</t>
  </si>
  <si>
    <t>Ramapo (Away) Wins</t>
  </si>
  <si>
    <t>Suffolk (Away) Wins</t>
  </si>
  <si>
    <t>Stevens (Home) Wins</t>
  </si>
  <si>
    <t>Fordham (Home) Wins</t>
  </si>
  <si>
    <t>St Thomas (Home) Wins</t>
  </si>
  <si>
    <t>*</t>
  </si>
  <si>
    <t>Columbia (Home) Wins</t>
  </si>
  <si>
    <t>Maritime in OT/SO</t>
  </si>
  <si>
    <t>Suffolk (Home) Wins</t>
  </si>
  <si>
    <t>Stevens (Away) Wins</t>
  </si>
  <si>
    <t>Maritime (Home) Wins</t>
  </si>
  <si>
    <t>Hofstra in OT/SO</t>
  </si>
  <si>
    <t>Hofstra (Away) Wins</t>
  </si>
  <si>
    <t>Friday, November 3, 2017</t>
  </si>
  <si>
    <t>Thursday, February 01, 2018</t>
  </si>
  <si>
    <t>Maritime (Away) Wins</t>
  </si>
  <si>
    <t>Columbia (Away) Wins</t>
  </si>
  <si>
    <t>Wednesday, December 6, 2017</t>
  </si>
  <si>
    <t>Wednesday, February 7, 2018</t>
  </si>
  <si>
    <t>Thursday, January 25, 2018</t>
  </si>
  <si>
    <t>Kings Point (Away) Wins</t>
  </si>
  <si>
    <t>St Thomas (Away) Wins</t>
  </si>
  <si>
    <t>Fordham in OT/SO</t>
  </si>
  <si>
    <t>**</t>
  </si>
  <si>
    <t>Ramapo in OT/SO</t>
  </si>
  <si>
    <t>S1</t>
  </si>
  <si>
    <t>Saturday, February 17, 2018</t>
  </si>
  <si>
    <t>S2</t>
  </si>
  <si>
    <t>CH</t>
  </si>
  <si>
    <t>Sunday, February 18, 2018</t>
  </si>
  <si>
    <t>W</t>
  </si>
  <si>
    <t>L</t>
  </si>
  <si>
    <t>G</t>
  </si>
  <si>
    <t>Goal Diff</t>
  </si>
  <si>
    <t>Total</t>
  </si>
  <si>
    <t>1 Goal</t>
  </si>
  <si>
    <t>2 Goal</t>
  </si>
  <si>
    <t>3 Goal</t>
  </si>
  <si>
    <t>4 Goal</t>
  </si>
  <si>
    <t>5 Goal</t>
  </si>
  <si>
    <t>6 Goal</t>
  </si>
  <si>
    <t>7 Goal</t>
  </si>
  <si>
    <t>8 Goal</t>
  </si>
  <si>
    <t>9 Goal</t>
  </si>
  <si>
    <t>10 Goal</t>
  </si>
  <si>
    <t>11 Goal</t>
  </si>
  <si>
    <t>12 Goal</t>
  </si>
  <si>
    <t>13 Goal</t>
  </si>
  <si>
    <t>14 Goal</t>
  </si>
  <si>
    <t>15 Goal</t>
  </si>
  <si>
    <t>16 Goal</t>
  </si>
  <si>
    <t>17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</si>
</sst>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yy;@"/>
    <numFmt numFmtId="166" formatCode="m/d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Arial Rounded MT Bold"/>
      <family val="2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b/>
      <sz val="10"/>
      <color theme="3" tint="-0.249977111117893"/>
      <name val="Arial Rounded MT Bold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0" fillId="0" borderId="3" xfId="0" applyFill="1" applyBorder="1"/>
    <xf numFmtId="0" fontId="0" fillId="0" borderId="0" xfId="0" applyBorder="1"/>
    <xf numFmtId="0" fontId="7" fillId="0" borderId="4" xfId="0" applyFont="1" applyBorder="1"/>
    <xf numFmtId="0" fontId="7" fillId="0" borderId="4" xfId="0" applyFont="1" applyBorder="1" applyAlignment="1">
      <alignment horizontal="center"/>
    </xf>
    <xf numFmtId="0" fontId="7" fillId="0" borderId="4" xfId="0" applyFont="1" applyFill="1" applyBorder="1"/>
    <xf numFmtId="0" fontId="8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164" fontId="9" fillId="0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9" fillId="0" borderId="1" xfId="0" applyFont="1" applyFill="1" applyBorder="1"/>
    <xf numFmtId="0" fontId="10" fillId="0" borderId="1" xfId="0" applyFont="1" applyBorder="1"/>
    <xf numFmtId="0" fontId="9" fillId="0" borderId="1" xfId="0" applyFont="1" applyFill="1" applyBorder="1" applyAlignment="1">
      <alignment horizontal="center"/>
    </xf>
    <xf numFmtId="0" fontId="0" fillId="0" borderId="5" xfId="0" applyFill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/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165" fontId="9" fillId="0" borderId="1" xfId="0" applyNumberFormat="1" applyFont="1" applyFill="1" applyBorder="1" applyAlignment="1">
      <alignment horizontal="center"/>
    </xf>
    <xf numFmtId="165" fontId="7" fillId="0" borderId="4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5" fontId="9" fillId="0" borderId="1" xfId="0" applyNumberFormat="1" applyFont="1" applyFill="1" applyBorder="1" applyAlignment="1">
      <alignment horizontal="center"/>
    </xf>
    <xf numFmtId="166" fontId="9" fillId="0" borderId="1" xfId="0" applyNumberFormat="1" applyFont="1" applyFill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9" fontId="0" fillId="0" borderId="0" xfId="1" applyFont="1" applyBorder="1"/>
    <xf numFmtId="0" fontId="0" fillId="0" borderId="13" xfId="0" applyBorder="1"/>
    <xf numFmtId="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6"/>
  <sheetViews>
    <sheetView workbookViewId="0">
      <selection activeCell="B3" sqref="B3:J12"/>
    </sheetView>
  </sheetViews>
  <sheetFormatPr defaultRowHeight="14.4" x14ac:dyDescent="0.3"/>
  <cols>
    <col min="1" max="1" width="5.6640625" customWidth="1"/>
    <col min="2" max="2" width="2" style="1" bestFit="1" customWidth="1"/>
    <col min="3" max="3" width="11.109375" bestFit="1" customWidth="1"/>
    <col min="4" max="4" width="3.6640625" style="1" bestFit="1" customWidth="1"/>
    <col min="5" max="6" width="3" bestFit="1" customWidth="1"/>
    <col min="7" max="7" width="4.77734375" bestFit="1" customWidth="1"/>
    <col min="8" max="8" width="4.6640625" bestFit="1" customWidth="1"/>
    <col min="9" max="10" width="4" bestFit="1" customWidth="1"/>
    <col min="11" max="11" width="5.6640625" customWidth="1"/>
  </cols>
  <sheetData>
    <row r="2" spans="1:16" s="2" customFormat="1" ht="30" customHeight="1" x14ac:dyDescent="0.3">
      <c r="A2" s="60" t="s">
        <v>11</v>
      </c>
      <c r="B2" s="60"/>
      <c r="C2" s="60"/>
      <c r="D2" s="60"/>
      <c r="E2" s="60"/>
      <c r="F2" s="60"/>
      <c r="G2" s="60"/>
      <c r="H2" s="60"/>
      <c r="I2" s="60"/>
      <c r="J2" s="60"/>
      <c r="K2" s="60"/>
    </row>
    <row r="3" spans="1:16" ht="18" x14ac:dyDescent="0.3">
      <c r="A3" s="61"/>
      <c r="B3" s="32"/>
      <c r="C3" s="33" t="s">
        <v>6</v>
      </c>
      <c r="D3" s="32" t="s">
        <v>12</v>
      </c>
      <c r="E3" s="32" t="s">
        <v>117</v>
      </c>
      <c r="F3" s="32" t="s">
        <v>118</v>
      </c>
      <c r="G3" s="32" t="s">
        <v>7</v>
      </c>
      <c r="H3" s="32" t="s">
        <v>8</v>
      </c>
      <c r="I3" s="32" t="s">
        <v>9</v>
      </c>
      <c r="J3" s="32" t="s">
        <v>10</v>
      </c>
      <c r="K3" s="61"/>
      <c r="M3" s="56" t="s">
        <v>19</v>
      </c>
      <c r="N3" s="57"/>
      <c r="O3" s="57"/>
      <c r="P3" s="57"/>
    </row>
    <row r="4" spans="1:16" ht="18" customHeight="1" x14ac:dyDescent="0.3">
      <c r="A4" s="61"/>
      <c r="B4" s="34">
        <v>1</v>
      </c>
      <c r="C4" s="35" t="s">
        <v>2</v>
      </c>
      <c r="D4" s="36">
        <v>16</v>
      </c>
      <c r="E4" s="36">
        <v>15</v>
      </c>
      <c r="F4" s="36">
        <v>0</v>
      </c>
      <c r="G4" s="36">
        <v>1</v>
      </c>
      <c r="H4" s="36">
        <v>31</v>
      </c>
      <c r="I4" s="36">
        <v>128</v>
      </c>
      <c r="J4" s="37">
        <v>33</v>
      </c>
      <c r="K4" s="61"/>
      <c r="M4" s="7">
        <v>1</v>
      </c>
      <c r="N4" t="s">
        <v>20</v>
      </c>
    </row>
    <row r="5" spans="1:16" ht="18" customHeight="1" x14ac:dyDescent="0.3">
      <c r="A5" s="61"/>
      <c r="B5" s="34">
        <v>2</v>
      </c>
      <c r="C5" s="35" t="s">
        <v>43</v>
      </c>
      <c r="D5" s="36">
        <v>16</v>
      </c>
      <c r="E5" s="36">
        <v>13</v>
      </c>
      <c r="F5" s="36">
        <v>3</v>
      </c>
      <c r="G5" s="36">
        <v>0</v>
      </c>
      <c r="H5" s="36">
        <v>26</v>
      </c>
      <c r="I5" s="36">
        <v>112</v>
      </c>
      <c r="J5" s="37">
        <v>52</v>
      </c>
      <c r="K5" s="61"/>
      <c r="M5" s="7">
        <v>2</v>
      </c>
      <c r="N5" t="s">
        <v>21</v>
      </c>
    </row>
    <row r="6" spans="1:16" ht="18" customHeight="1" x14ac:dyDescent="0.3">
      <c r="A6" s="61"/>
      <c r="B6" s="34">
        <v>3</v>
      </c>
      <c r="C6" s="35" t="s">
        <v>29</v>
      </c>
      <c r="D6" s="36">
        <v>16</v>
      </c>
      <c r="E6" s="36">
        <v>11</v>
      </c>
      <c r="F6" s="36">
        <v>3</v>
      </c>
      <c r="G6" s="36">
        <v>2</v>
      </c>
      <c r="H6" s="36">
        <v>24</v>
      </c>
      <c r="I6" s="36">
        <v>123</v>
      </c>
      <c r="J6" s="37">
        <v>42</v>
      </c>
      <c r="K6" s="61"/>
      <c r="M6" s="7">
        <v>3</v>
      </c>
      <c r="N6" t="s">
        <v>22</v>
      </c>
    </row>
    <row r="7" spans="1:16" ht="18" customHeight="1" x14ac:dyDescent="0.3">
      <c r="A7" s="61"/>
      <c r="B7" s="34">
        <v>4</v>
      </c>
      <c r="C7" s="35" t="s">
        <v>28</v>
      </c>
      <c r="D7" s="36">
        <v>16</v>
      </c>
      <c r="E7" s="36">
        <v>11</v>
      </c>
      <c r="F7" s="36">
        <v>5</v>
      </c>
      <c r="G7" s="36">
        <v>0</v>
      </c>
      <c r="H7" s="36">
        <v>22</v>
      </c>
      <c r="I7" s="36">
        <v>82</v>
      </c>
      <c r="J7" s="37">
        <v>77</v>
      </c>
      <c r="K7" s="61"/>
      <c r="M7" s="7">
        <v>4</v>
      </c>
      <c r="N7" t="s">
        <v>24</v>
      </c>
    </row>
    <row r="8" spans="1:16" ht="18" customHeight="1" x14ac:dyDescent="0.3">
      <c r="A8" s="61"/>
      <c r="B8" s="34">
        <v>5</v>
      </c>
      <c r="C8" s="35" t="s">
        <v>4</v>
      </c>
      <c r="D8" s="36">
        <v>15</v>
      </c>
      <c r="E8" s="36">
        <v>7</v>
      </c>
      <c r="F8" s="36">
        <v>7</v>
      </c>
      <c r="G8" s="36">
        <v>1</v>
      </c>
      <c r="H8" s="36">
        <v>15</v>
      </c>
      <c r="I8" s="36">
        <v>59</v>
      </c>
      <c r="J8" s="37">
        <v>81</v>
      </c>
      <c r="K8" s="61"/>
      <c r="M8" s="7">
        <v>5</v>
      </c>
      <c r="N8" t="s">
        <v>26</v>
      </c>
    </row>
    <row r="9" spans="1:16" ht="18" customHeight="1" x14ac:dyDescent="0.3">
      <c r="A9" s="61"/>
      <c r="B9" s="34">
        <v>6</v>
      </c>
      <c r="C9" s="35" t="s">
        <v>81</v>
      </c>
      <c r="D9" s="36">
        <v>16</v>
      </c>
      <c r="E9" s="36">
        <v>7</v>
      </c>
      <c r="F9" s="36">
        <v>9</v>
      </c>
      <c r="G9" s="36">
        <v>0</v>
      </c>
      <c r="H9" s="36">
        <v>14</v>
      </c>
      <c r="I9" s="36">
        <v>70</v>
      </c>
      <c r="J9" s="37">
        <v>83</v>
      </c>
      <c r="K9" s="61"/>
    </row>
    <row r="10" spans="1:16" ht="18" customHeight="1" x14ac:dyDescent="0.3">
      <c r="A10" s="61"/>
      <c r="B10" s="34">
        <v>7</v>
      </c>
      <c r="C10" s="35" t="s">
        <v>5</v>
      </c>
      <c r="D10" s="36">
        <v>16</v>
      </c>
      <c r="E10" s="36">
        <v>3</v>
      </c>
      <c r="F10" s="36">
        <v>12</v>
      </c>
      <c r="G10" s="36">
        <v>1</v>
      </c>
      <c r="H10" s="36">
        <v>7</v>
      </c>
      <c r="I10" s="36">
        <v>70</v>
      </c>
      <c r="J10" s="37">
        <v>156</v>
      </c>
      <c r="K10" s="61"/>
      <c r="M10" t="s">
        <v>23</v>
      </c>
    </row>
    <row r="11" spans="1:16" ht="18" customHeight="1" thickBot="1" x14ac:dyDescent="0.35">
      <c r="A11" s="61"/>
      <c r="B11" s="34">
        <v>8</v>
      </c>
      <c r="C11" s="35" t="s">
        <v>31</v>
      </c>
      <c r="D11" s="36">
        <v>16</v>
      </c>
      <c r="E11" s="36">
        <v>3</v>
      </c>
      <c r="F11" s="36">
        <v>12</v>
      </c>
      <c r="G11" s="36">
        <v>1</v>
      </c>
      <c r="H11" s="36">
        <v>7</v>
      </c>
      <c r="I11" s="36">
        <v>58</v>
      </c>
      <c r="J11" s="37">
        <v>102</v>
      </c>
      <c r="K11" s="61"/>
    </row>
    <row r="12" spans="1:16" ht="18" customHeight="1" thickTop="1" thickBot="1" x14ac:dyDescent="0.35">
      <c r="A12" s="61"/>
      <c r="B12" s="34">
        <v>9</v>
      </c>
      <c r="C12" s="35" t="s">
        <v>3</v>
      </c>
      <c r="D12" s="36">
        <v>15</v>
      </c>
      <c r="E12" s="36">
        <v>1</v>
      </c>
      <c r="F12" s="36">
        <v>14</v>
      </c>
      <c r="G12" s="36">
        <v>0</v>
      </c>
      <c r="H12" s="36">
        <v>2</v>
      </c>
      <c r="I12" s="36">
        <v>51</v>
      </c>
      <c r="J12" s="37">
        <v>127</v>
      </c>
      <c r="K12" s="61"/>
      <c r="M12" s="58" t="s">
        <v>25</v>
      </c>
      <c r="N12" s="58"/>
      <c r="O12" s="58"/>
      <c r="P12" s="8">
        <v>72</v>
      </c>
    </row>
    <row r="13" spans="1:16" ht="24.9" customHeight="1" thickTop="1" x14ac:dyDescent="0.3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</row>
    <row r="16" spans="1:16" x14ac:dyDescent="0.3">
      <c r="G16" s="59" t="s">
        <v>27</v>
      </c>
      <c r="H16" s="59"/>
      <c r="I16" s="10">
        <f>SUM(I4:I12)</f>
        <v>753</v>
      </c>
      <c r="J16" s="10">
        <f>SUM(J4:J12)</f>
        <v>753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7">
    <mergeCell ref="M3:P3"/>
    <mergeCell ref="M12:O12"/>
    <mergeCell ref="G16:H16"/>
    <mergeCell ref="A2:K2"/>
    <mergeCell ref="A13:K13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1678" divId="MCHC 2017-18 Standings Worksheet_31678" sourceType="range" sourceRef="B3:J12" destinationFile="C:\Users\casse\OneDrive\Webmaster\methockey\Standings\Standings-include-2018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1"/>
  <sheetViews>
    <sheetView tabSelected="1" workbookViewId="0">
      <selection activeCell="T3" sqref="T3"/>
    </sheetView>
  </sheetViews>
  <sheetFormatPr defaultRowHeight="14.4" x14ac:dyDescent="0.3"/>
  <cols>
    <col min="1" max="1" width="4.6640625" style="1" customWidth="1"/>
    <col min="2" max="2" width="27.5546875" style="43" customWidth="1"/>
    <col min="3" max="3" width="10.44140625" bestFit="1" customWidth="1"/>
    <col min="4" max="4" width="4" style="1" bestFit="1" customWidth="1"/>
    <col min="5" max="5" width="10.44140625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</cols>
  <sheetData>
    <row r="1" spans="1:21" ht="15.6" thickTop="1" thickBot="1" x14ac:dyDescent="0.35">
      <c r="A1" s="3" t="s">
        <v>14</v>
      </c>
      <c r="B1" s="38" t="s">
        <v>13</v>
      </c>
      <c r="C1" s="4" t="s">
        <v>0</v>
      </c>
      <c r="D1" s="3" t="s">
        <v>119</v>
      </c>
      <c r="E1" s="4" t="s">
        <v>1</v>
      </c>
      <c r="F1" s="3" t="s">
        <v>119</v>
      </c>
      <c r="G1" s="4" t="s">
        <v>15</v>
      </c>
      <c r="H1" s="5" t="s">
        <v>18</v>
      </c>
      <c r="I1" s="6" t="s">
        <v>17</v>
      </c>
      <c r="J1" s="6" t="s">
        <v>16</v>
      </c>
      <c r="M1" s="9" t="s">
        <v>41</v>
      </c>
      <c r="N1" s="9">
        <v>1</v>
      </c>
    </row>
    <row r="2" spans="1:21" ht="15.6" thickTop="1" thickBot="1" x14ac:dyDescent="0.35">
      <c r="A2" s="14"/>
      <c r="B2" s="39"/>
      <c r="C2" s="15"/>
      <c r="D2" s="14"/>
      <c r="E2" s="15"/>
      <c r="F2" s="14"/>
      <c r="G2" s="15"/>
      <c r="H2" s="5"/>
      <c r="I2" s="6"/>
      <c r="J2" s="6"/>
      <c r="M2" s="9" t="s">
        <v>37</v>
      </c>
      <c r="N2" s="9">
        <v>2</v>
      </c>
      <c r="P2" s="46" t="s">
        <v>120</v>
      </c>
      <c r="Q2" s="47"/>
      <c r="R2" s="47"/>
      <c r="S2" s="47" t="s">
        <v>121</v>
      </c>
      <c r="T2" s="47">
        <f>SUM(R3:R19)</f>
        <v>71</v>
      </c>
      <c r="U2" s="48"/>
    </row>
    <row r="3" spans="1:21" ht="15.6" thickTop="1" thickBot="1" x14ac:dyDescent="0.35">
      <c r="A3" s="26">
        <v>1</v>
      </c>
      <c r="B3" s="45" t="s">
        <v>44</v>
      </c>
      <c r="C3" s="27" t="s">
        <v>43</v>
      </c>
      <c r="D3" s="26">
        <v>10</v>
      </c>
      <c r="E3" s="28" t="s">
        <v>31</v>
      </c>
      <c r="F3" s="30">
        <v>4</v>
      </c>
      <c r="G3" s="29"/>
      <c r="H3" s="22" t="s">
        <v>82</v>
      </c>
      <c r="I3" s="23">
        <v>6</v>
      </c>
      <c r="J3" s="23">
        <v>7</v>
      </c>
      <c r="M3" s="9" t="s">
        <v>36</v>
      </c>
      <c r="N3" s="9">
        <v>3</v>
      </c>
      <c r="P3" s="49">
        <f>D3-F3</f>
        <v>6</v>
      </c>
      <c r="Q3" t="s">
        <v>122</v>
      </c>
      <c r="R3">
        <f>COUNTIF($P$3:$P$74,1)+COUNTIF($P$3:$P$74,-1)</f>
        <v>17</v>
      </c>
      <c r="S3" s="50">
        <f>R3/$T$2</f>
        <v>0.23943661971830985</v>
      </c>
      <c r="U3" s="51"/>
    </row>
    <row r="4" spans="1:21" ht="15.6" thickTop="1" thickBot="1" x14ac:dyDescent="0.35">
      <c r="A4" s="26">
        <v>2</v>
      </c>
      <c r="B4" s="44" t="s">
        <v>45</v>
      </c>
      <c r="C4" s="28" t="s">
        <v>28</v>
      </c>
      <c r="D4" s="30">
        <v>6</v>
      </c>
      <c r="E4" s="28" t="s">
        <v>4</v>
      </c>
      <c r="F4" s="30">
        <v>3</v>
      </c>
      <c r="G4" s="29"/>
      <c r="H4" s="22" t="s">
        <v>85</v>
      </c>
      <c r="I4" s="23">
        <v>3</v>
      </c>
      <c r="J4" s="23">
        <v>8</v>
      </c>
      <c r="M4" s="31" t="s">
        <v>42</v>
      </c>
      <c r="N4" s="9">
        <v>4</v>
      </c>
      <c r="P4" s="49">
        <f t="shared" ref="P4:P58" si="0">D4-F4</f>
        <v>3</v>
      </c>
      <c r="Q4" t="s">
        <v>123</v>
      </c>
      <c r="R4">
        <f>COUNTIF($P$3:$P$74,2)+COUNTIF($P$3:$P$74,-2)</f>
        <v>8</v>
      </c>
      <c r="S4" s="50">
        <f t="shared" ref="S4:S14" si="1">R4/$T$2</f>
        <v>0.11267605633802817</v>
      </c>
      <c r="U4" s="51"/>
    </row>
    <row r="5" spans="1:21" ht="15.6" thickTop="1" thickBot="1" x14ac:dyDescent="0.35">
      <c r="A5" s="26">
        <v>3</v>
      </c>
      <c r="B5" s="44" t="s">
        <v>45</v>
      </c>
      <c r="C5" s="27" t="s">
        <v>43</v>
      </c>
      <c r="D5" s="26">
        <v>3</v>
      </c>
      <c r="E5" s="28" t="s">
        <v>2</v>
      </c>
      <c r="F5" s="30">
        <v>4</v>
      </c>
      <c r="G5" s="29"/>
      <c r="H5" s="22" t="s">
        <v>86</v>
      </c>
      <c r="I5" s="23">
        <v>6</v>
      </c>
      <c r="J5" s="23">
        <v>2</v>
      </c>
      <c r="M5" s="9" t="s">
        <v>83</v>
      </c>
      <c r="N5" s="9">
        <v>5</v>
      </c>
      <c r="P5" s="49">
        <f t="shared" si="0"/>
        <v>-1</v>
      </c>
      <c r="Q5" t="s">
        <v>124</v>
      </c>
      <c r="R5">
        <f>COUNTIF($P$3:$P$74,3)+COUNTIF($P$3:$P$74,-3)</f>
        <v>8</v>
      </c>
      <c r="S5" s="50">
        <f t="shared" si="1"/>
        <v>0.11267605633802817</v>
      </c>
      <c r="U5" s="51"/>
    </row>
    <row r="6" spans="1:21" ht="15.6" thickTop="1" thickBot="1" x14ac:dyDescent="0.35">
      <c r="A6" s="30">
        <v>4</v>
      </c>
      <c r="B6" s="44" t="s">
        <v>46</v>
      </c>
      <c r="C6" s="28" t="s">
        <v>81</v>
      </c>
      <c r="D6" s="30">
        <v>3</v>
      </c>
      <c r="E6" s="28" t="s">
        <v>43</v>
      </c>
      <c r="F6" s="30">
        <v>7</v>
      </c>
      <c r="G6" s="29"/>
      <c r="H6" s="22" t="s">
        <v>87</v>
      </c>
      <c r="I6" s="23">
        <v>5</v>
      </c>
      <c r="J6" s="23">
        <v>6</v>
      </c>
      <c r="M6" s="9" t="s">
        <v>40</v>
      </c>
      <c r="N6" s="9">
        <v>6</v>
      </c>
      <c r="P6" s="49">
        <f t="shared" si="0"/>
        <v>-4</v>
      </c>
      <c r="Q6" t="s">
        <v>125</v>
      </c>
      <c r="R6">
        <f>COUNTIF($P$3:$P$74,4)+COUNTIF($P$3:$P$74,-4)</f>
        <v>9</v>
      </c>
      <c r="S6" s="50">
        <f t="shared" si="1"/>
        <v>0.12676056338028169</v>
      </c>
      <c r="U6" s="51"/>
    </row>
    <row r="7" spans="1:21" ht="15.6" thickTop="1" thickBot="1" x14ac:dyDescent="0.35">
      <c r="A7" s="26">
        <v>5</v>
      </c>
      <c r="B7" s="44" t="s">
        <v>47</v>
      </c>
      <c r="C7" s="27" t="s">
        <v>31</v>
      </c>
      <c r="D7" s="26">
        <v>3</v>
      </c>
      <c r="E7" s="28" t="s">
        <v>29</v>
      </c>
      <c r="F7" s="30">
        <v>10</v>
      </c>
      <c r="G7" s="29"/>
      <c r="H7" s="22" t="s">
        <v>88</v>
      </c>
      <c r="I7" s="23">
        <v>7</v>
      </c>
      <c r="J7" s="23">
        <v>9</v>
      </c>
      <c r="M7" s="9" t="s">
        <v>84</v>
      </c>
      <c r="N7" s="9">
        <v>7</v>
      </c>
      <c r="P7" s="49">
        <f t="shared" si="0"/>
        <v>-7</v>
      </c>
      <c r="Q7" t="s">
        <v>126</v>
      </c>
      <c r="R7">
        <f>COUNTIF($P$3:$P$74,5)+COUNTIF($P$3:$P$74,-5)</f>
        <v>6</v>
      </c>
      <c r="S7" s="50">
        <f t="shared" si="1"/>
        <v>8.4507042253521125E-2</v>
      </c>
      <c r="U7" s="51"/>
    </row>
    <row r="8" spans="1:21" ht="15.6" thickTop="1" thickBot="1" x14ac:dyDescent="0.35">
      <c r="A8" s="26">
        <v>6</v>
      </c>
      <c r="B8" s="44" t="s">
        <v>47</v>
      </c>
      <c r="C8" s="27" t="s">
        <v>4</v>
      </c>
      <c r="D8" s="26">
        <v>2</v>
      </c>
      <c r="E8" s="28" t="s">
        <v>28</v>
      </c>
      <c r="F8" s="30">
        <v>1</v>
      </c>
      <c r="G8" s="29"/>
      <c r="H8" s="22" t="s">
        <v>89</v>
      </c>
      <c r="I8" s="23">
        <v>8</v>
      </c>
      <c r="J8" s="23">
        <v>3</v>
      </c>
      <c r="M8" s="9" t="s">
        <v>39</v>
      </c>
      <c r="N8" s="9">
        <v>8</v>
      </c>
      <c r="P8" s="49">
        <f t="shared" si="0"/>
        <v>1</v>
      </c>
      <c r="Q8" t="s">
        <v>127</v>
      </c>
      <c r="R8">
        <f>COUNTIF($P$3:$P$74,6)+COUNTIF($P$3:$P$74,-6)</f>
        <v>5</v>
      </c>
      <c r="S8" s="50">
        <f t="shared" si="1"/>
        <v>7.0422535211267609E-2</v>
      </c>
      <c r="U8" s="51"/>
    </row>
    <row r="9" spans="1:21" ht="15.6" thickTop="1" thickBot="1" x14ac:dyDescent="0.35">
      <c r="A9" s="26">
        <v>7</v>
      </c>
      <c r="B9" s="44" t="s">
        <v>48</v>
      </c>
      <c r="C9" s="28" t="s">
        <v>5</v>
      </c>
      <c r="D9" s="30">
        <v>2</v>
      </c>
      <c r="E9" s="28" t="s">
        <v>2</v>
      </c>
      <c r="F9" s="30">
        <v>19</v>
      </c>
      <c r="G9" s="29"/>
      <c r="H9" s="22" t="s">
        <v>86</v>
      </c>
      <c r="I9" s="23">
        <v>1</v>
      </c>
      <c r="J9" s="23">
        <v>2</v>
      </c>
      <c r="M9" s="16" t="s">
        <v>38</v>
      </c>
      <c r="N9" s="9">
        <v>9</v>
      </c>
      <c r="P9" s="49">
        <f t="shared" si="0"/>
        <v>-17</v>
      </c>
      <c r="Q9" t="s">
        <v>128</v>
      </c>
      <c r="R9">
        <f>COUNTIF($P$3:$P$74,7)+COUNTIF($P$3:$P$74,-7)</f>
        <v>2</v>
      </c>
      <c r="S9" s="50">
        <f t="shared" si="1"/>
        <v>2.8169014084507043E-2</v>
      </c>
      <c r="U9" s="51"/>
    </row>
    <row r="10" spans="1:21" ht="15.6" thickTop="1" thickBot="1" x14ac:dyDescent="0.35">
      <c r="A10" s="26">
        <v>8</v>
      </c>
      <c r="B10" s="44" t="s">
        <v>49</v>
      </c>
      <c r="C10" s="27" t="s">
        <v>2</v>
      </c>
      <c r="D10" s="26">
        <v>6</v>
      </c>
      <c r="E10" s="28" t="s">
        <v>81</v>
      </c>
      <c r="F10" s="30">
        <v>2</v>
      </c>
      <c r="G10" s="29"/>
      <c r="H10" s="22" t="s">
        <v>90</v>
      </c>
      <c r="I10" s="23">
        <v>2</v>
      </c>
      <c r="J10" s="23">
        <v>5</v>
      </c>
      <c r="N10" s="9">
        <v>9</v>
      </c>
      <c r="P10" s="49">
        <f t="shared" si="0"/>
        <v>4</v>
      </c>
      <c r="Q10" t="s">
        <v>129</v>
      </c>
      <c r="R10">
        <f>COUNTIF($P$3:$P$74,8)+COUNTIF($P$3:$P$74,-8)</f>
        <v>3</v>
      </c>
      <c r="S10" s="50">
        <f t="shared" si="1"/>
        <v>4.2253521126760563E-2</v>
      </c>
      <c r="U10" s="51"/>
    </row>
    <row r="11" spans="1:21" ht="15" thickBot="1" x14ac:dyDescent="0.35">
      <c r="A11" s="26">
        <v>9</v>
      </c>
      <c r="B11" s="44" t="s">
        <v>49</v>
      </c>
      <c r="C11" s="27" t="s">
        <v>31</v>
      </c>
      <c r="D11" s="26">
        <v>6</v>
      </c>
      <c r="E11" s="27" t="s">
        <v>5</v>
      </c>
      <c r="F11" s="26">
        <v>4</v>
      </c>
      <c r="G11" s="29"/>
      <c r="H11" s="22" t="s">
        <v>91</v>
      </c>
      <c r="I11" s="23">
        <v>7</v>
      </c>
      <c r="J11" s="23">
        <v>1</v>
      </c>
      <c r="M11" s="17"/>
      <c r="N11" s="17"/>
      <c r="P11" s="49">
        <f t="shared" si="0"/>
        <v>2</v>
      </c>
      <c r="Q11" t="s">
        <v>130</v>
      </c>
      <c r="R11">
        <f>COUNTIF($P$3:$P$74,9)+COUNTIF($P$3:$P$74,-9)</f>
        <v>6</v>
      </c>
      <c r="S11" s="50">
        <f t="shared" si="1"/>
        <v>8.4507042253521125E-2</v>
      </c>
      <c r="U11" s="51"/>
    </row>
    <row r="12" spans="1:21" ht="15" thickBot="1" x14ac:dyDescent="0.35">
      <c r="A12" s="26">
        <v>10</v>
      </c>
      <c r="B12" s="44" t="s">
        <v>49</v>
      </c>
      <c r="C12" s="27" t="s">
        <v>4</v>
      </c>
      <c r="D12" s="26">
        <v>3</v>
      </c>
      <c r="E12" s="28" t="s">
        <v>29</v>
      </c>
      <c r="F12" s="30">
        <v>6</v>
      </c>
      <c r="G12" s="29"/>
      <c r="H12" s="22" t="s">
        <v>88</v>
      </c>
      <c r="I12" s="23">
        <v>8</v>
      </c>
      <c r="J12" s="23">
        <v>9</v>
      </c>
      <c r="M12" s="17"/>
      <c r="N12" s="17"/>
      <c r="P12" s="49">
        <f t="shared" si="0"/>
        <v>-3</v>
      </c>
      <c r="Q12" t="s">
        <v>131</v>
      </c>
      <c r="R12">
        <f>COUNTIF($P$3:$P$74,10)+COUNTIF($P$3:$P$74,-10)</f>
        <v>1</v>
      </c>
      <c r="S12" s="50">
        <f t="shared" si="1"/>
        <v>1.4084507042253521E-2</v>
      </c>
      <c r="U12" s="51"/>
    </row>
    <row r="13" spans="1:21" ht="15" thickBot="1" x14ac:dyDescent="0.35">
      <c r="A13" s="26">
        <v>11</v>
      </c>
      <c r="B13" s="44" t="s">
        <v>50</v>
      </c>
      <c r="C13" s="27" t="s">
        <v>28</v>
      </c>
      <c r="D13" s="26">
        <v>1</v>
      </c>
      <c r="E13" s="27" t="s">
        <v>2</v>
      </c>
      <c r="F13" s="26">
        <v>7</v>
      </c>
      <c r="G13" s="29"/>
      <c r="H13" s="22" t="s">
        <v>86</v>
      </c>
      <c r="I13" s="23">
        <v>3</v>
      </c>
      <c r="J13" s="23">
        <v>2</v>
      </c>
      <c r="M13" s="17"/>
      <c r="N13" s="17"/>
      <c r="P13" s="49">
        <f t="shared" si="0"/>
        <v>-6</v>
      </c>
      <c r="Q13" t="s">
        <v>132</v>
      </c>
      <c r="R13">
        <f>COUNTIF($P$3:$P$74,11)+COUNTIF($P$3:$P$74,-11)</f>
        <v>1</v>
      </c>
      <c r="S13" s="50">
        <f t="shared" si="1"/>
        <v>1.4084507042253521E-2</v>
      </c>
      <c r="U13" s="51"/>
    </row>
    <row r="14" spans="1:21" ht="15" thickBot="1" x14ac:dyDescent="0.35">
      <c r="A14" s="26">
        <v>12</v>
      </c>
      <c r="B14" s="44" t="s">
        <v>50</v>
      </c>
      <c r="C14" s="28" t="s">
        <v>31</v>
      </c>
      <c r="D14" s="30">
        <v>1</v>
      </c>
      <c r="E14" s="28" t="s">
        <v>4</v>
      </c>
      <c r="F14" s="30">
        <v>7</v>
      </c>
      <c r="G14" s="29"/>
      <c r="H14" s="22" t="s">
        <v>96</v>
      </c>
      <c r="I14" s="23">
        <v>7</v>
      </c>
      <c r="J14" s="23">
        <v>8</v>
      </c>
      <c r="M14" s="17"/>
      <c r="N14" s="17"/>
      <c r="P14" s="49">
        <f t="shared" si="0"/>
        <v>-6</v>
      </c>
      <c r="Q14" t="s">
        <v>133</v>
      </c>
      <c r="R14">
        <f>COUNTIF($P$3:$P$74,12)+COUNTIF($P$3:$P$74,-12)</f>
        <v>3</v>
      </c>
      <c r="S14" s="50">
        <f t="shared" si="1"/>
        <v>4.2253521126760563E-2</v>
      </c>
      <c r="U14" s="51"/>
    </row>
    <row r="15" spans="1:21" ht="15" thickBot="1" x14ac:dyDescent="0.35">
      <c r="A15" s="26">
        <v>13</v>
      </c>
      <c r="B15" s="44" t="s">
        <v>51</v>
      </c>
      <c r="C15" s="27" t="s">
        <v>5</v>
      </c>
      <c r="D15" s="26">
        <v>10</v>
      </c>
      <c r="E15" s="28" t="s">
        <v>31</v>
      </c>
      <c r="F15" s="30">
        <v>8</v>
      </c>
      <c r="G15" s="29"/>
      <c r="H15" s="22" t="s">
        <v>93</v>
      </c>
      <c r="I15" s="23">
        <v>1</v>
      </c>
      <c r="J15" s="23">
        <v>7</v>
      </c>
      <c r="M15" s="17"/>
      <c r="N15" s="17"/>
      <c r="P15" s="49">
        <f t="shared" si="0"/>
        <v>2</v>
      </c>
      <c r="Q15" t="s">
        <v>134</v>
      </c>
      <c r="R15">
        <f>COUNTIF($P$3:$P$74,13)+COUNTIF($P$3:$P$74,-13)</f>
        <v>0</v>
      </c>
      <c r="S15" s="50">
        <f t="shared" ref="S15:S19" si="2">R15/$T$2</f>
        <v>0</v>
      </c>
      <c r="U15" s="51"/>
    </row>
    <row r="16" spans="1:21" ht="15" thickBot="1" x14ac:dyDescent="0.35">
      <c r="A16" s="30">
        <v>14</v>
      </c>
      <c r="B16" s="44" t="s">
        <v>51</v>
      </c>
      <c r="C16" s="28" t="s">
        <v>81</v>
      </c>
      <c r="D16" s="30">
        <v>7</v>
      </c>
      <c r="E16" s="28" t="s">
        <v>4</v>
      </c>
      <c r="F16" s="30">
        <v>6</v>
      </c>
      <c r="G16" s="29" t="s">
        <v>92</v>
      </c>
      <c r="H16" s="22" t="s">
        <v>94</v>
      </c>
      <c r="I16" s="23">
        <v>5</v>
      </c>
      <c r="J16" s="23">
        <v>8</v>
      </c>
      <c r="M16" s="17"/>
      <c r="N16" s="17"/>
      <c r="P16" s="49">
        <f t="shared" si="0"/>
        <v>1</v>
      </c>
      <c r="Q16" t="s">
        <v>135</v>
      </c>
      <c r="R16">
        <f>COUNTIF($P$3:$P$74,14)+COUNTIF($P$3:$P$74,-14)</f>
        <v>1</v>
      </c>
      <c r="S16" s="50">
        <f t="shared" si="2"/>
        <v>1.4084507042253521E-2</v>
      </c>
      <c r="U16" s="51"/>
    </row>
    <row r="17" spans="1:21" ht="15" thickBot="1" x14ac:dyDescent="0.35">
      <c r="A17" s="30">
        <v>15</v>
      </c>
      <c r="B17" s="44" t="s">
        <v>51</v>
      </c>
      <c r="C17" s="27" t="s">
        <v>29</v>
      </c>
      <c r="D17" s="26">
        <v>10</v>
      </c>
      <c r="E17" s="27" t="s">
        <v>28</v>
      </c>
      <c r="F17" s="26">
        <v>1</v>
      </c>
      <c r="G17" s="29"/>
      <c r="H17" s="22" t="s">
        <v>95</v>
      </c>
      <c r="I17" s="23">
        <v>9</v>
      </c>
      <c r="J17" s="23">
        <v>3</v>
      </c>
      <c r="M17" s="17"/>
      <c r="N17" s="17"/>
      <c r="P17" s="49">
        <f t="shared" si="0"/>
        <v>9</v>
      </c>
      <c r="Q17" t="s">
        <v>136</v>
      </c>
      <c r="R17">
        <f>COUNTIF($P$3:$P$74,15)+COUNTIF($P$3:$P$74,-15)</f>
        <v>0</v>
      </c>
      <c r="S17" s="50">
        <f t="shared" si="2"/>
        <v>0</v>
      </c>
      <c r="U17" s="51"/>
    </row>
    <row r="18" spans="1:21" ht="15" thickBot="1" x14ac:dyDescent="0.35">
      <c r="A18" s="30">
        <v>16</v>
      </c>
      <c r="B18" s="44" t="s">
        <v>52</v>
      </c>
      <c r="C18" s="28" t="s">
        <v>2</v>
      </c>
      <c r="D18" s="30">
        <v>13</v>
      </c>
      <c r="E18" s="27" t="s">
        <v>5</v>
      </c>
      <c r="F18" s="26">
        <v>1</v>
      </c>
      <c r="G18" s="29"/>
      <c r="H18" s="22" t="s">
        <v>90</v>
      </c>
      <c r="I18" s="23">
        <v>2</v>
      </c>
      <c r="J18" s="23">
        <v>1</v>
      </c>
      <c r="P18" s="49">
        <f t="shared" si="0"/>
        <v>12</v>
      </c>
      <c r="Q18" t="s">
        <v>137</v>
      </c>
      <c r="R18">
        <f>COUNTIF($P$3:$P$74,16)+COUNTIF($P$3:$P$74,-16)</f>
        <v>0</v>
      </c>
      <c r="S18" s="50">
        <f t="shared" si="2"/>
        <v>0</v>
      </c>
      <c r="U18" s="51"/>
    </row>
    <row r="19" spans="1:21" ht="15" thickBot="1" x14ac:dyDescent="0.35">
      <c r="A19" s="30">
        <v>17</v>
      </c>
      <c r="B19" s="44" t="s">
        <v>53</v>
      </c>
      <c r="C19" s="27" t="s">
        <v>43</v>
      </c>
      <c r="D19" s="26">
        <v>8</v>
      </c>
      <c r="E19" s="27" t="s">
        <v>81</v>
      </c>
      <c r="F19" s="26">
        <v>4</v>
      </c>
      <c r="G19" s="29"/>
      <c r="H19" s="22" t="s">
        <v>82</v>
      </c>
      <c r="I19" s="23">
        <v>6</v>
      </c>
      <c r="J19" s="23">
        <v>5</v>
      </c>
      <c r="P19" s="49">
        <f t="shared" si="0"/>
        <v>4</v>
      </c>
      <c r="Q19" t="s">
        <v>138</v>
      </c>
      <c r="R19">
        <f>COUNTIF($P$3:$P$74,17)+COUNTIF($P$3:$P$74,-17)</f>
        <v>1</v>
      </c>
      <c r="S19" s="50">
        <f t="shared" si="2"/>
        <v>1.4084507042253521E-2</v>
      </c>
      <c r="U19" s="51"/>
    </row>
    <row r="20" spans="1:21" ht="15" thickBot="1" x14ac:dyDescent="0.35">
      <c r="A20" s="30">
        <v>18</v>
      </c>
      <c r="B20" s="44" t="s">
        <v>54</v>
      </c>
      <c r="C20" s="27" t="s">
        <v>28</v>
      </c>
      <c r="D20" s="26">
        <v>3</v>
      </c>
      <c r="E20" s="27" t="s">
        <v>29</v>
      </c>
      <c r="F20" s="26">
        <v>2</v>
      </c>
      <c r="G20" s="29" t="s">
        <v>92</v>
      </c>
      <c r="H20" s="22" t="s">
        <v>98</v>
      </c>
      <c r="I20" s="23">
        <v>3</v>
      </c>
      <c r="J20" s="23">
        <v>9</v>
      </c>
      <c r="P20" s="49">
        <f t="shared" si="0"/>
        <v>1</v>
      </c>
      <c r="S20" s="52">
        <f>SUM(S3:S19)</f>
        <v>1</v>
      </c>
      <c r="U20" s="51"/>
    </row>
    <row r="21" spans="1:21" ht="15" thickBot="1" x14ac:dyDescent="0.35">
      <c r="A21" s="30">
        <v>19</v>
      </c>
      <c r="B21" s="44" t="s">
        <v>54</v>
      </c>
      <c r="C21" s="27" t="s">
        <v>81</v>
      </c>
      <c r="D21" s="26">
        <v>3</v>
      </c>
      <c r="E21" s="27" t="s">
        <v>31</v>
      </c>
      <c r="F21" s="26">
        <v>2</v>
      </c>
      <c r="G21" s="29"/>
      <c r="H21" s="22" t="s">
        <v>97</v>
      </c>
      <c r="I21" s="23">
        <v>5</v>
      </c>
      <c r="J21" s="23">
        <v>7</v>
      </c>
      <c r="P21" s="49">
        <f t="shared" si="0"/>
        <v>1</v>
      </c>
      <c r="U21" s="51"/>
    </row>
    <row r="22" spans="1:21" ht="15" thickBot="1" x14ac:dyDescent="0.35">
      <c r="A22" s="26">
        <v>20</v>
      </c>
      <c r="B22" s="44" t="s">
        <v>54</v>
      </c>
      <c r="C22" s="27" t="s">
        <v>4</v>
      </c>
      <c r="D22" s="26">
        <v>2</v>
      </c>
      <c r="E22" s="27" t="s">
        <v>43</v>
      </c>
      <c r="F22" s="26">
        <v>10</v>
      </c>
      <c r="G22" s="29"/>
      <c r="H22" s="22" t="s">
        <v>87</v>
      </c>
      <c r="I22" s="23">
        <v>8</v>
      </c>
      <c r="J22" s="23">
        <v>6</v>
      </c>
      <c r="P22" s="49">
        <f t="shared" si="0"/>
        <v>-8</v>
      </c>
      <c r="U22" s="51"/>
    </row>
    <row r="23" spans="1:21" ht="15" thickBot="1" x14ac:dyDescent="0.35">
      <c r="A23" s="26">
        <v>21</v>
      </c>
      <c r="B23" s="44" t="s">
        <v>55</v>
      </c>
      <c r="C23" s="27" t="s">
        <v>2</v>
      </c>
      <c r="D23" s="26">
        <v>6</v>
      </c>
      <c r="E23" s="27" t="s">
        <v>29</v>
      </c>
      <c r="F23" s="26">
        <v>4</v>
      </c>
      <c r="G23" s="29"/>
      <c r="H23" s="22" t="s">
        <v>90</v>
      </c>
      <c r="I23" s="23">
        <v>2</v>
      </c>
      <c r="J23" s="23">
        <v>9</v>
      </c>
      <c r="P23" s="49">
        <f t="shared" si="0"/>
        <v>2</v>
      </c>
      <c r="U23" s="51"/>
    </row>
    <row r="24" spans="1:21" ht="15" thickBot="1" x14ac:dyDescent="0.35">
      <c r="A24" s="30">
        <v>22</v>
      </c>
      <c r="B24" s="44" t="s">
        <v>56</v>
      </c>
      <c r="C24" s="28" t="s">
        <v>43</v>
      </c>
      <c r="D24" s="30">
        <v>7</v>
      </c>
      <c r="E24" s="28" t="s">
        <v>4</v>
      </c>
      <c r="F24" s="30">
        <v>3</v>
      </c>
      <c r="G24" s="29"/>
      <c r="H24" s="22" t="s">
        <v>82</v>
      </c>
      <c r="I24" s="23">
        <v>6</v>
      </c>
      <c r="J24" s="23">
        <v>8</v>
      </c>
      <c r="P24" s="49">
        <f t="shared" si="0"/>
        <v>4</v>
      </c>
      <c r="U24" s="51"/>
    </row>
    <row r="25" spans="1:21" ht="15" thickBot="1" x14ac:dyDescent="0.35">
      <c r="A25" s="30">
        <v>23</v>
      </c>
      <c r="B25" s="44" t="s">
        <v>57</v>
      </c>
      <c r="C25" s="28" t="s">
        <v>81</v>
      </c>
      <c r="D25" s="30">
        <v>3</v>
      </c>
      <c r="E25" s="28" t="s">
        <v>28</v>
      </c>
      <c r="F25" s="30">
        <v>5</v>
      </c>
      <c r="G25" s="29"/>
      <c r="H25" s="22" t="s">
        <v>99</v>
      </c>
      <c r="I25" s="23">
        <v>5</v>
      </c>
      <c r="J25" s="23">
        <v>3</v>
      </c>
      <c r="P25" s="49">
        <f t="shared" si="0"/>
        <v>-2</v>
      </c>
      <c r="U25" s="51"/>
    </row>
    <row r="26" spans="1:21" ht="15" thickBot="1" x14ac:dyDescent="0.35">
      <c r="A26" s="30">
        <v>24</v>
      </c>
      <c r="B26" s="44" t="s">
        <v>57</v>
      </c>
      <c r="C26" s="28" t="s">
        <v>29</v>
      </c>
      <c r="D26" s="30">
        <v>13</v>
      </c>
      <c r="E26" s="28" t="s">
        <v>5</v>
      </c>
      <c r="F26" s="30">
        <v>2</v>
      </c>
      <c r="G26" s="29"/>
      <c r="H26" s="22" t="s">
        <v>95</v>
      </c>
      <c r="I26" s="23">
        <v>9</v>
      </c>
      <c r="J26" s="23">
        <v>1</v>
      </c>
      <c r="P26" s="49">
        <f t="shared" si="0"/>
        <v>11</v>
      </c>
      <c r="U26" s="51"/>
    </row>
    <row r="27" spans="1:21" ht="15" thickBot="1" x14ac:dyDescent="0.35">
      <c r="A27" s="30">
        <v>25</v>
      </c>
      <c r="B27" s="44" t="s">
        <v>58</v>
      </c>
      <c r="C27" s="28" t="s">
        <v>43</v>
      </c>
      <c r="D27" s="30">
        <v>8</v>
      </c>
      <c r="E27" s="28" t="s">
        <v>28</v>
      </c>
      <c r="F27" s="30">
        <v>3</v>
      </c>
      <c r="G27" s="29"/>
      <c r="H27" s="22" t="s">
        <v>82</v>
      </c>
      <c r="I27" s="23">
        <v>6</v>
      </c>
      <c r="J27" s="23">
        <v>3</v>
      </c>
      <c r="N27">
        <f>LOOKUP(C27,M1:M9,N1:N9)</f>
        <v>6</v>
      </c>
      <c r="O27">
        <f>LOOKUP(E27,M1:M9,N1:N9)</f>
        <v>3</v>
      </c>
      <c r="P27" s="49">
        <f t="shared" si="0"/>
        <v>5</v>
      </c>
      <c r="U27" s="51"/>
    </row>
    <row r="28" spans="1:21" ht="15" thickBot="1" x14ac:dyDescent="0.35">
      <c r="A28" s="30">
        <v>60</v>
      </c>
      <c r="B28" s="44" t="s">
        <v>100</v>
      </c>
      <c r="C28" s="28" t="s">
        <v>31</v>
      </c>
      <c r="D28" s="30">
        <v>1</v>
      </c>
      <c r="E28" s="28" t="s">
        <v>2</v>
      </c>
      <c r="F28" s="30">
        <v>6</v>
      </c>
      <c r="G28" s="29"/>
      <c r="H28" s="22" t="s">
        <v>86</v>
      </c>
      <c r="I28" s="23">
        <v>7</v>
      </c>
      <c r="J28" s="23">
        <v>2</v>
      </c>
      <c r="P28" s="49">
        <f t="shared" si="0"/>
        <v>-5</v>
      </c>
      <c r="U28" s="51"/>
    </row>
    <row r="29" spans="1:21" ht="15" thickBot="1" x14ac:dyDescent="0.35">
      <c r="A29" s="30">
        <v>28</v>
      </c>
      <c r="B29" s="44" t="s">
        <v>59</v>
      </c>
      <c r="C29" s="28" t="s">
        <v>29</v>
      </c>
      <c r="D29" s="30">
        <v>7</v>
      </c>
      <c r="E29" s="28" t="s">
        <v>4</v>
      </c>
      <c r="F29" s="30">
        <v>2</v>
      </c>
      <c r="G29" s="29"/>
      <c r="H29" s="22" t="s">
        <v>95</v>
      </c>
      <c r="I29" s="23">
        <v>9</v>
      </c>
      <c r="J29" s="23">
        <v>8</v>
      </c>
      <c r="P29" s="49">
        <f t="shared" si="0"/>
        <v>5</v>
      </c>
      <c r="U29" s="51"/>
    </row>
    <row r="30" spans="1:21" ht="15" thickBot="1" x14ac:dyDescent="0.35">
      <c r="A30" s="30">
        <v>30</v>
      </c>
      <c r="B30" s="44" t="s">
        <v>60</v>
      </c>
      <c r="C30" s="28" t="s">
        <v>31</v>
      </c>
      <c r="D30" s="30">
        <v>3</v>
      </c>
      <c r="E30" s="28" t="s">
        <v>81</v>
      </c>
      <c r="F30" s="30">
        <v>4</v>
      </c>
      <c r="G30" s="29" t="s">
        <v>92</v>
      </c>
      <c r="H30" s="22" t="s">
        <v>94</v>
      </c>
      <c r="I30" s="23">
        <v>7</v>
      </c>
      <c r="J30" s="23">
        <v>5</v>
      </c>
      <c r="P30" s="49">
        <f t="shared" si="0"/>
        <v>-1</v>
      </c>
      <c r="U30" s="51"/>
    </row>
    <row r="31" spans="1:21" ht="15" thickBot="1" x14ac:dyDescent="0.35">
      <c r="A31" s="30">
        <v>31</v>
      </c>
      <c r="B31" s="44" t="s">
        <v>61</v>
      </c>
      <c r="C31" s="28" t="s">
        <v>2</v>
      </c>
      <c r="D31" s="30">
        <v>5</v>
      </c>
      <c r="E31" s="28" t="s">
        <v>4</v>
      </c>
      <c r="F31" s="30">
        <v>0</v>
      </c>
      <c r="G31" s="29"/>
      <c r="H31" s="22" t="s">
        <v>90</v>
      </c>
      <c r="I31" s="23">
        <v>2</v>
      </c>
      <c r="J31" s="23">
        <v>8</v>
      </c>
      <c r="P31" s="49">
        <f t="shared" si="0"/>
        <v>5</v>
      </c>
      <c r="U31" s="51"/>
    </row>
    <row r="32" spans="1:21" ht="15" thickBot="1" x14ac:dyDescent="0.35">
      <c r="A32" s="30">
        <v>32</v>
      </c>
      <c r="B32" s="44" t="s">
        <v>61</v>
      </c>
      <c r="C32" s="28" t="s">
        <v>3</v>
      </c>
      <c r="D32" s="30">
        <v>3</v>
      </c>
      <c r="E32" s="28" t="s">
        <v>81</v>
      </c>
      <c r="F32" s="30">
        <v>8</v>
      </c>
      <c r="G32" s="29"/>
      <c r="H32" s="22" t="s">
        <v>102</v>
      </c>
      <c r="I32" s="23">
        <v>4</v>
      </c>
      <c r="J32" s="23">
        <v>5</v>
      </c>
      <c r="P32" s="49">
        <f t="shared" si="0"/>
        <v>-5</v>
      </c>
      <c r="U32" s="51"/>
    </row>
    <row r="33" spans="1:21" ht="15" thickBot="1" x14ac:dyDescent="0.35">
      <c r="A33" s="30">
        <v>33</v>
      </c>
      <c r="B33" s="44" t="s">
        <v>61</v>
      </c>
      <c r="C33" s="28" t="s">
        <v>43</v>
      </c>
      <c r="D33" s="30">
        <v>3</v>
      </c>
      <c r="E33" s="28" t="s">
        <v>29</v>
      </c>
      <c r="F33" s="30">
        <v>2</v>
      </c>
      <c r="G33" s="29"/>
      <c r="H33" s="22" t="s">
        <v>82</v>
      </c>
      <c r="I33" s="23">
        <v>6</v>
      </c>
      <c r="J33" s="23">
        <v>9</v>
      </c>
      <c r="P33" s="49">
        <f t="shared" si="0"/>
        <v>1</v>
      </c>
      <c r="U33" s="51"/>
    </row>
    <row r="34" spans="1:21" ht="15" thickBot="1" x14ac:dyDescent="0.35">
      <c r="A34" s="30">
        <v>34</v>
      </c>
      <c r="B34" s="44" t="s">
        <v>62</v>
      </c>
      <c r="C34" s="28" t="s">
        <v>5</v>
      </c>
      <c r="D34" s="30">
        <v>5</v>
      </c>
      <c r="E34" s="28" t="s">
        <v>28</v>
      </c>
      <c r="F34" s="30">
        <v>9</v>
      </c>
      <c r="G34" s="29"/>
      <c r="H34" s="22" t="s">
        <v>99</v>
      </c>
      <c r="I34" s="23">
        <v>1</v>
      </c>
      <c r="J34" s="23">
        <v>3</v>
      </c>
      <c r="P34" s="49">
        <f t="shared" si="0"/>
        <v>-4</v>
      </c>
      <c r="U34" s="51"/>
    </row>
    <row r="35" spans="1:21" ht="15" thickBot="1" x14ac:dyDescent="0.35">
      <c r="A35" s="30">
        <v>35</v>
      </c>
      <c r="B35" s="44" t="s">
        <v>62</v>
      </c>
      <c r="C35" s="28" t="s">
        <v>3</v>
      </c>
      <c r="D35" s="30">
        <v>0</v>
      </c>
      <c r="E35" s="28" t="s">
        <v>2</v>
      </c>
      <c r="F35" s="30">
        <v>14</v>
      </c>
      <c r="G35" s="29"/>
      <c r="H35" s="22" t="s">
        <v>86</v>
      </c>
      <c r="I35" s="23">
        <v>4</v>
      </c>
      <c r="J35" s="23">
        <v>2</v>
      </c>
      <c r="P35" s="49">
        <f t="shared" si="0"/>
        <v>-14</v>
      </c>
      <c r="U35" s="51"/>
    </row>
    <row r="36" spans="1:21" ht="15" thickBot="1" x14ac:dyDescent="0.35">
      <c r="A36" s="30">
        <v>36</v>
      </c>
      <c r="B36" s="44" t="s">
        <v>62</v>
      </c>
      <c r="C36" s="28" t="s">
        <v>29</v>
      </c>
      <c r="D36" s="30">
        <v>10</v>
      </c>
      <c r="E36" s="28" t="s">
        <v>43</v>
      </c>
      <c r="F36" s="30">
        <v>2</v>
      </c>
      <c r="G36" s="29"/>
      <c r="H36" s="22" t="s">
        <v>95</v>
      </c>
      <c r="I36" s="23">
        <v>9</v>
      </c>
      <c r="J36" s="23">
        <v>6</v>
      </c>
      <c r="P36" s="49">
        <f t="shared" si="0"/>
        <v>8</v>
      </c>
      <c r="U36" s="51"/>
    </row>
    <row r="37" spans="1:21" ht="15" thickBot="1" x14ac:dyDescent="0.35">
      <c r="A37" s="30">
        <v>37</v>
      </c>
      <c r="B37" s="44" t="s">
        <v>63</v>
      </c>
      <c r="C37" s="28" t="s">
        <v>28</v>
      </c>
      <c r="D37" s="30">
        <v>8</v>
      </c>
      <c r="E37" s="28" t="s">
        <v>5</v>
      </c>
      <c r="F37" s="30">
        <v>7</v>
      </c>
      <c r="G37" s="29" t="s">
        <v>92</v>
      </c>
      <c r="H37" s="22" t="s">
        <v>98</v>
      </c>
      <c r="I37" s="23">
        <v>3</v>
      </c>
      <c r="J37" s="23">
        <v>1</v>
      </c>
      <c r="P37" s="49">
        <f t="shared" si="0"/>
        <v>1</v>
      </c>
      <c r="U37" s="51"/>
    </row>
    <row r="38" spans="1:21" ht="15" thickBot="1" x14ac:dyDescent="0.35">
      <c r="A38" s="30">
        <v>38</v>
      </c>
      <c r="B38" s="44" t="s">
        <v>63</v>
      </c>
      <c r="C38" s="28" t="s">
        <v>4</v>
      </c>
      <c r="D38" s="30">
        <v>8</v>
      </c>
      <c r="E38" s="28" t="s">
        <v>3</v>
      </c>
      <c r="F38" s="30">
        <v>4</v>
      </c>
      <c r="G38" s="29"/>
      <c r="H38" s="22" t="s">
        <v>89</v>
      </c>
      <c r="I38" s="23">
        <v>8</v>
      </c>
      <c r="J38" s="23">
        <v>4</v>
      </c>
      <c r="P38" s="49">
        <f t="shared" si="0"/>
        <v>4</v>
      </c>
      <c r="U38" s="51"/>
    </row>
    <row r="39" spans="1:21" ht="15" thickBot="1" x14ac:dyDescent="0.35">
      <c r="A39" s="30">
        <v>39</v>
      </c>
      <c r="B39" s="44" t="s">
        <v>64</v>
      </c>
      <c r="C39" s="28" t="s">
        <v>3</v>
      </c>
      <c r="D39" s="30">
        <v>5</v>
      </c>
      <c r="E39" s="28" t="s">
        <v>5</v>
      </c>
      <c r="F39" s="30">
        <v>8</v>
      </c>
      <c r="G39" s="29"/>
      <c r="H39" s="22" t="s">
        <v>103</v>
      </c>
      <c r="I39" s="23">
        <v>4</v>
      </c>
      <c r="J39" s="23">
        <v>1</v>
      </c>
      <c r="P39" s="49">
        <f t="shared" si="0"/>
        <v>-3</v>
      </c>
      <c r="U39" s="51"/>
    </row>
    <row r="40" spans="1:21" ht="15" thickBot="1" x14ac:dyDescent="0.35">
      <c r="A40" s="26">
        <v>40</v>
      </c>
      <c r="B40" s="44" t="s">
        <v>65</v>
      </c>
      <c r="C40" s="27" t="s">
        <v>3</v>
      </c>
      <c r="D40" s="26">
        <v>4</v>
      </c>
      <c r="E40" s="27" t="s">
        <v>28</v>
      </c>
      <c r="F40" s="26">
        <v>6</v>
      </c>
      <c r="G40" s="29"/>
      <c r="H40" s="22" t="s">
        <v>99</v>
      </c>
      <c r="I40" s="23">
        <v>4</v>
      </c>
      <c r="J40" s="23">
        <v>3</v>
      </c>
      <c r="P40" s="49">
        <f t="shared" si="0"/>
        <v>-2</v>
      </c>
      <c r="U40" s="51"/>
    </row>
    <row r="41" spans="1:21" ht="15" thickBot="1" x14ac:dyDescent="0.35">
      <c r="A41" s="30">
        <v>41</v>
      </c>
      <c r="B41" s="44" t="s">
        <v>65</v>
      </c>
      <c r="C41" s="28" t="s">
        <v>81</v>
      </c>
      <c r="D41" s="30">
        <v>9</v>
      </c>
      <c r="E41" s="28" t="s">
        <v>5</v>
      </c>
      <c r="F41" s="30">
        <v>7</v>
      </c>
      <c r="G41" s="29"/>
      <c r="H41" s="22" t="s">
        <v>97</v>
      </c>
      <c r="I41" s="23">
        <v>5</v>
      </c>
      <c r="J41" s="23">
        <v>1</v>
      </c>
      <c r="P41" s="49">
        <f t="shared" si="0"/>
        <v>2</v>
      </c>
      <c r="U41" s="51"/>
    </row>
    <row r="42" spans="1:21" ht="15" thickBot="1" x14ac:dyDescent="0.35">
      <c r="A42" s="30">
        <v>42</v>
      </c>
      <c r="B42" s="44" t="s">
        <v>66</v>
      </c>
      <c r="C42" s="28" t="s">
        <v>5</v>
      </c>
      <c r="D42" s="30">
        <v>10</v>
      </c>
      <c r="E42" s="28" t="s">
        <v>3</v>
      </c>
      <c r="F42" s="30">
        <v>9</v>
      </c>
      <c r="G42" s="29"/>
      <c r="H42" s="22" t="s">
        <v>93</v>
      </c>
      <c r="I42" s="23">
        <v>1</v>
      </c>
      <c r="J42" s="23">
        <v>4</v>
      </c>
      <c r="P42" s="49">
        <f t="shared" si="0"/>
        <v>1</v>
      </c>
      <c r="U42" s="51"/>
    </row>
    <row r="43" spans="1:21" ht="15" thickBot="1" x14ac:dyDescent="0.35">
      <c r="A43" s="30">
        <v>43</v>
      </c>
      <c r="B43" s="44" t="s">
        <v>66</v>
      </c>
      <c r="C43" s="28" t="s">
        <v>28</v>
      </c>
      <c r="D43" s="30">
        <v>6</v>
      </c>
      <c r="E43" s="28" t="s">
        <v>43</v>
      </c>
      <c r="F43" s="30">
        <v>3</v>
      </c>
      <c r="G43" s="29"/>
      <c r="H43" s="22" t="s">
        <v>85</v>
      </c>
      <c r="I43" s="23">
        <v>3</v>
      </c>
      <c r="J43" s="23">
        <v>6</v>
      </c>
      <c r="P43" s="49">
        <f t="shared" si="0"/>
        <v>3</v>
      </c>
      <c r="U43" s="51"/>
    </row>
    <row r="44" spans="1:21" ht="15" thickBot="1" x14ac:dyDescent="0.35">
      <c r="A44" s="26">
        <v>44</v>
      </c>
      <c r="B44" s="44" t="s">
        <v>67</v>
      </c>
      <c r="C44" s="27" t="s">
        <v>2</v>
      </c>
      <c r="D44" s="26">
        <v>6</v>
      </c>
      <c r="E44" s="27" t="s">
        <v>28</v>
      </c>
      <c r="F44" s="26">
        <v>2</v>
      </c>
      <c r="G44" s="29"/>
      <c r="H44" s="22" t="s">
        <v>90</v>
      </c>
      <c r="I44" s="23">
        <v>2</v>
      </c>
      <c r="J44" s="23">
        <v>3</v>
      </c>
      <c r="P44" s="53">
        <f t="shared" si="0"/>
        <v>4</v>
      </c>
      <c r="Q44" s="54"/>
      <c r="R44" s="54"/>
      <c r="S44" s="54"/>
      <c r="T44" s="54"/>
      <c r="U44" s="55"/>
    </row>
    <row r="45" spans="1:21" ht="15" thickBot="1" x14ac:dyDescent="0.35">
      <c r="A45" s="30">
        <v>45</v>
      </c>
      <c r="B45" s="44" t="s">
        <v>67</v>
      </c>
      <c r="C45" s="28" t="s">
        <v>4</v>
      </c>
      <c r="D45" s="30">
        <v>4</v>
      </c>
      <c r="E45" s="28" t="s">
        <v>81</v>
      </c>
      <c r="F45" s="30">
        <v>3</v>
      </c>
      <c r="G45" s="29"/>
      <c r="H45" s="22" t="s">
        <v>89</v>
      </c>
      <c r="I45" s="23">
        <v>8</v>
      </c>
      <c r="J45" s="23">
        <v>5</v>
      </c>
      <c r="P45" s="49">
        <f t="shared" si="0"/>
        <v>1</v>
      </c>
      <c r="U45" s="51"/>
    </row>
    <row r="46" spans="1:21" ht="15" thickBot="1" x14ac:dyDescent="0.35">
      <c r="A46" s="30">
        <v>46</v>
      </c>
      <c r="B46" s="44" t="s">
        <v>67</v>
      </c>
      <c r="C46" s="28" t="s">
        <v>29</v>
      </c>
      <c r="D46" s="30">
        <v>10</v>
      </c>
      <c r="E46" s="28" t="s">
        <v>3</v>
      </c>
      <c r="F46" s="30">
        <v>1</v>
      </c>
      <c r="G46" s="29"/>
      <c r="H46" s="22" t="s">
        <v>95</v>
      </c>
      <c r="I46" s="23">
        <v>9</v>
      </c>
      <c r="J46" s="23">
        <v>4</v>
      </c>
      <c r="P46" s="49">
        <f t="shared" si="0"/>
        <v>9</v>
      </c>
      <c r="U46" s="51"/>
    </row>
    <row r="47" spans="1:21" ht="15" thickBot="1" x14ac:dyDescent="0.35">
      <c r="A47" s="26">
        <v>47</v>
      </c>
      <c r="B47" s="44" t="s">
        <v>68</v>
      </c>
      <c r="C47" s="27" t="s">
        <v>4</v>
      </c>
      <c r="D47" s="26">
        <v>4</v>
      </c>
      <c r="E47" s="28" t="s">
        <v>31</v>
      </c>
      <c r="F47" s="30">
        <v>3</v>
      </c>
      <c r="G47" s="29"/>
      <c r="H47" s="22" t="s">
        <v>89</v>
      </c>
      <c r="I47" s="23">
        <v>8</v>
      </c>
      <c r="J47" s="23">
        <v>7</v>
      </c>
      <c r="P47" s="49">
        <f t="shared" si="0"/>
        <v>1</v>
      </c>
      <c r="U47" s="51"/>
    </row>
    <row r="48" spans="1:21" ht="15" thickBot="1" x14ac:dyDescent="0.35">
      <c r="A48" s="30">
        <v>26</v>
      </c>
      <c r="B48" s="44" t="s">
        <v>104</v>
      </c>
      <c r="C48" s="28" t="s">
        <v>31</v>
      </c>
      <c r="D48" s="30">
        <v>6</v>
      </c>
      <c r="E48" s="28" t="s">
        <v>3</v>
      </c>
      <c r="F48" s="30">
        <v>4</v>
      </c>
      <c r="G48" s="29"/>
      <c r="H48" s="22" t="s">
        <v>91</v>
      </c>
      <c r="I48" s="23">
        <v>7</v>
      </c>
      <c r="J48" s="23">
        <v>4</v>
      </c>
      <c r="P48" s="49">
        <f t="shared" si="0"/>
        <v>2</v>
      </c>
      <c r="U48" s="51"/>
    </row>
    <row r="49" spans="1:21" ht="15" thickBot="1" x14ac:dyDescent="0.35">
      <c r="A49" s="30">
        <v>48</v>
      </c>
      <c r="B49" s="44" t="s">
        <v>69</v>
      </c>
      <c r="C49" s="28" t="s">
        <v>2</v>
      </c>
      <c r="D49" s="30">
        <v>10</v>
      </c>
      <c r="E49" s="28" t="s">
        <v>31</v>
      </c>
      <c r="F49" s="30">
        <v>2</v>
      </c>
      <c r="G49" s="29"/>
      <c r="H49" s="22" t="s">
        <v>90</v>
      </c>
      <c r="I49" s="23">
        <v>2</v>
      </c>
      <c r="J49" s="23">
        <v>7</v>
      </c>
      <c r="P49" s="49">
        <f t="shared" si="0"/>
        <v>8</v>
      </c>
      <c r="U49" s="51"/>
    </row>
    <row r="50" spans="1:21" ht="15" thickBot="1" x14ac:dyDescent="0.35">
      <c r="A50" s="30">
        <v>50</v>
      </c>
      <c r="B50" s="44" t="s">
        <v>70</v>
      </c>
      <c r="C50" s="28" t="s">
        <v>3</v>
      </c>
      <c r="D50" s="30">
        <v>3</v>
      </c>
      <c r="E50" s="28" t="s">
        <v>29</v>
      </c>
      <c r="F50" s="30">
        <v>12</v>
      </c>
      <c r="G50" s="29"/>
      <c r="H50" s="22" t="s">
        <v>88</v>
      </c>
      <c r="I50" s="23">
        <v>4</v>
      </c>
      <c r="J50" s="23">
        <v>9</v>
      </c>
      <c r="P50" s="49">
        <f t="shared" si="0"/>
        <v>-9</v>
      </c>
      <c r="U50" s="51"/>
    </row>
    <row r="51" spans="1:21" ht="15" thickBot="1" x14ac:dyDescent="0.35">
      <c r="A51" s="30">
        <v>51</v>
      </c>
      <c r="B51" s="44" t="s">
        <v>71</v>
      </c>
      <c r="C51" s="28" t="s">
        <v>43</v>
      </c>
      <c r="D51" s="30">
        <v>10</v>
      </c>
      <c r="E51" s="28" t="s">
        <v>3</v>
      </c>
      <c r="F51" s="30">
        <v>1</v>
      </c>
      <c r="G51" s="29"/>
      <c r="H51" s="22" t="s">
        <v>82</v>
      </c>
      <c r="I51" s="23">
        <v>6</v>
      </c>
      <c r="J51" s="23">
        <v>4</v>
      </c>
      <c r="P51" s="49">
        <f t="shared" si="0"/>
        <v>9</v>
      </c>
      <c r="U51" s="51"/>
    </row>
    <row r="52" spans="1:21" ht="15" thickBot="1" x14ac:dyDescent="0.35">
      <c r="A52" s="30">
        <v>52</v>
      </c>
      <c r="B52" s="44" t="s">
        <v>72</v>
      </c>
      <c r="C52" s="28" t="s">
        <v>29</v>
      </c>
      <c r="D52" s="30">
        <v>9</v>
      </c>
      <c r="E52" s="28" t="s">
        <v>81</v>
      </c>
      <c r="F52" s="30">
        <v>0</v>
      </c>
      <c r="G52" s="29"/>
      <c r="H52" s="22" t="s">
        <v>95</v>
      </c>
      <c r="I52" s="23">
        <v>9</v>
      </c>
      <c r="J52" s="23">
        <v>5</v>
      </c>
      <c r="P52" s="49">
        <f t="shared" si="0"/>
        <v>9</v>
      </c>
      <c r="U52" s="51"/>
    </row>
    <row r="53" spans="1:21" ht="15" thickBot="1" x14ac:dyDescent="0.35">
      <c r="A53" s="30">
        <v>53</v>
      </c>
      <c r="B53" s="44" t="s">
        <v>73</v>
      </c>
      <c r="C53" s="28" t="s">
        <v>3</v>
      </c>
      <c r="D53" s="30"/>
      <c r="E53" s="28" t="s">
        <v>4</v>
      </c>
      <c r="F53" s="30"/>
      <c r="G53" s="29"/>
      <c r="H53" s="22"/>
      <c r="I53" s="23"/>
      <c r="J53" s="23"/>
      <c r="P53" s="49">
        <f t="shared" si="0"/>
        <v>0</v>
      </c>
      <c r="U53" s="51"/>
    </row>
    <row r="54" spans="1:21" ht="15" thickBot="1" x14ac:dyDescent="0.35">
      <c r="A54" s="30">
        <v>54</v>
      </c>
      <c r="B54" s="44" t="s">
        <v>73</v>
      </c>
      <c r="C54" s="28" t="s">
        <v>81</v>
      </c>
      <c r="D54" s="30">
        <v>5</v>
      </c>
      <c r="E54" s="28" t="s">
        <v>29</v>
      </c>
      <c r="F54" s="30">
        <v>4</v>
      </c>
      <c r="G54" s="29"/>
      <c r="H54" s="22" t="s">
        <v>97</v>
      </c>
      <c r="I54" s="23">
        <v>5</v>
      </c>
      <c r="J54" s="23">
        <v>9</v>
      </c>
      <c r="P54" s="49">
        <f t="shared" si="0"/>
        <v>1</v>
      </c>
      <c r="U54" s="51"/>
    </row>
    <row r="55" spans="1:21" ht="15" thickBot="1" x14ac:dyDescent="0.35">
      <c r="A55" s="30">
        <v>55</v>
      </c>
      <c r="B55" s="44" t="s">
        <v>74</v>
      </c>
      <c r="C55" s="28" t="s">
        <v>4</v>
      </c>
      <c r="D55" s="30">
        <v>1</v>
      </c>
      <c r="E55" s="28" t="s">
        <v>2</v>
      </c>
      <c r="F55" s="30">
        <v>11</v>
      </c>
      <c r="G55" s="29"/>
      <c r="H55" s="22" t="s">
        <v>86</v>
      </c>
      <c r="I55" s="23">
        <v>8</v>
      </c>
      <c r="J55" s="23">
        <v>2</v>
      </c>
      <c r="P55" s="49">
        <f t="shared" si="0"/>
        <v>-10</v>
      </c>
      <c r="U55" s="51"/>
    </row>
    <row r="56" spans="1:21" ht="15" thickBot="1" x14ac:dyDescent="0.35">
      <c r="A56" s="30">
        <v>27</v>
      </c>
      <c r="B56" s="44" t="s">
        <v>106</v>
      </c>
      <c r="C56" s="28" t="s">
        <v>5</v>
      </c>
      <c r="D56" s="30">
        <v>1</v>
      </c>
      <c r="E56" s="28" t="s">
        <v>81</v>
      </c>
      <c r="F56" s="30">
        <v>7</v>
      </c>
      <c r="G56" s="29"/>
      <c r="H56" s="22" t="s">
        <v>102</v>
      </c>
      <c r="I56" s="23">
        <v>1</v>
      </c>
      <c r="J56" s="23">
        <v>5</v>
      </c>
      <c r="P56" s="49">
        <f t="shared" si="0"/>
        <v>-6</v>
      </c>
      <c r="U56" s="51"/>
    </row>
    <row r="57" spans="1:21" ht="15" thickBot="1" x14ac:dyDescent="0.35">
      <c r="A57" s="30">
        <v>56</v>
      </c>
      <c r="B57" s="44" t="s">
        <v>75</v>
      </c>
      <c r="C57" s="28" t="s">
        <v>5</v>
      </c>
      <c r="D57" s="30">
        <v>1</v>
      </c>
      <c r="E57" s="28" t="s">
        <v>43</v>
      </c>
      <c r="F57" s="30">
        <v>10</v>
      </c>
      <c r="G57" s="29"/>
      <c r="H57" s="22" t="s">
        <v>87</v>
      </c>
      <c r="I57" s="23">
        <v>1</v>
      </c>
      <c r="J57" s="23">
        <v>6</v>
      </c>
      <c r="P57" s="49">
        <f t="shared" si="0"/>
        <v>-9</v>
      </c>
      <c r="U57" s="51"/>
    </row>
    <row r="58" spans="1:21" ht="15" thickBot="1" x14ac:dyDescent="0.35">
      <c r="A58" s="30">
        <v>57</v>
      </c>
      <c r="B58" s="44" t="s">
        <v>75</v>
      </c>
      <c r="C58" s="28" t="s">
        <v>29</v>
      </c>
      <c r="D58" s="30">
        <v>7</v>
      </c>
      <c r="E58" s="28" t="s">
        <v>31</v>
      </c>
      <c r="F58" s="30">
        <v>2</v>
      </c>
      <c r="G58" s="29"/>
      <c r="H58" s="22" t="s">
        <v>95</v>
      </c>
      <c r="I58" s="23">
        <v>9</v>
      </c>
      <c r="J58" s="23">
        <v>7</v>
      </c>
      <c r="P58" s="49">
        <f t="shared" si="0"/>
        <v>5</v>
      </c>
      <c r="U58" s="51"/>
    </row>
    <row r="59" spans="1:21" ht="15" thickBot="1" x14ac:dyDescent="0.35">
      <c r="A59" s="30">
        <v>58</v>
      </c>
      <c r="B59" s="44" t="s">
        <v>76</v>
      </c>
      <c r="C59" s="28" t="s">
        <v>5</v>
      </c>
      <c r="D59" s="30">
        <v>4</v>
      </c>
      <c r="E59" s="28" t="s">
        <v>4</v>
      </c>
      <c r="F59" s="30">
        <v>5</v>
      </c>
      <c r="G59" s="29"/>
      <c r="H59" s="22" t="s">
        <v>96</v>
      </c>
      <c r="I59" s="23">
        <v>1</v>
      </c>
      <c r="J59" s="23">
        <v>8</v>
      </c>
      <c r="P59" s="49">
        <f t="shared" ref="P59:P74" si="3">D59-F59</f>
        <v>-1</v>
      </c>
      <c r="U59" s="51"/>
    </row>
    <row r="60" spans="1:21" ht="15" thickBot="1" x14ac:dyDescent="0.35">
      <c r="A60" s="30">
        <v>59</v>
      </c>
      <c r="B60" s="44" t="s">
        <v>76</v>
      </c>
      <c r="C60" s="28" t="s">
        <v>81</v>
      </c>
      <c r="D60" s="30">
        <v>6</v>
      </c>
      <c r="E60" s="28" t="s">
        <v>3</v>
      </c>
      <c r="F60" s="30">
        <v>7</v>
      </c>
      <c r="G60" s="29"/>
      <c r="H60" s="22" t="s">
        <v>107</v>
      </c>
      <c r="I60" s="23">
        <v>5</v>
      </c>
      <c r="J60" s="23">
        <v>4</v>
      </c>
      <c r="P60" s="49">
        <f t="shared" si="3"/>
        <v>-1</v>
      </c>
      <c r="U60" s="51"/>
    </row>
    <row r="61" spans="1:21" ht="15" thickBot="1" x14ac:dyDescent="0.35">
      <c r="A61" s="30">
        <v>29</v>
      </c>
      <c r="B61" s="44" t="s">
        <v>101</v>
      </c>
      <c r="C61" s="28" t="s">
        <v>2</v>
      </c>
      <c r="D61" s="30">
        <v>6</v>
      </c>
      <c r="E61" s="28" t="s">
        <v>3</v>
      </c>
      <c r="F61" s="30">
        <v>3</v>
      </c>
      <c r="G61" s="29"/>
      <c r="H61" s="22" t="s">
        <v>90</v>
      </c>
      <c r="I61" s="23">
        <v>2</v>
      </c>
      <c r="J61" s="23">
        <v>4</v>
      </c>
      <c r="P61" s="49">
        <f t="shared" si="3"/>
        <v>3</v>
      </c>
      <c r="U61" s="51"/>
    </row>
    <row r="62" spans="1:21" ht="15" thickBot="1" x14ac:dyDescent="0.35">
      <c r="A62" s="30">
        <v>61</v>
      </c>
      <c r="B62" s="44" t="s">
        <v>77</v>
      </c>
      <c r="C62" s="28" t="s">
        <v>3</v>
      </c>
      <c r="D62" s="30">
        <v>2</v>
      </c>
      <c r="E62" s="28" t="s">
        <v>43</v>
      </c>
      <c r="F62" s="30">
        <v>9</v>
      </c>
      <c r="G62" s="29"/>
      <c r="H62" s="22" t="s">
        <v>87</v>
      </c>
      <c r="I62" s="23">
        <v>4</v>
      </c>
      <c r="J62" s="23">
        <v>6</v>
      </c>
      <c r="P62" s="49">
        <f t="shared" si="3"/>
        <v>-7</v>
      </c>
      <c r="U62" s="51"/>
    </row>
    <row r="63" spans="1:21" ht="15" thickBot="1" x14ac:dyDescent="0.35">
      <c r="A63" s="30">
        <v>62</v>
      </c>
      <c r="B63" s="44" t="s">
        <v>77</v>
      </c>
      <c r="C63" s="28" t="s">
        <v>5</v>
      </c>
      <c r="D63" s="30">
        <v>0</v>
      </c>
      <c r="E63" s="28" t="s">
        <v>29</v>
      </c>
      <c r="F63" s="30">
        <v>12</v>
      </c>
      <c r="G63" s="29"/>
      <c r="H63" s="22" t="s">
        <v>88</v>
      </c>
      <c r="I63" s="23">
        <v>1</v>
      </c>
      <c r="J63" s="23">
        <v>9</v>
      </c>
      <c r="P63" s="49">
        <f t="shared" si="3"/>
        <v>-12</v>
      </c>
      <c r="U63" s="51"/>
    </row>
    <row r="64" spans="1:21" ht="15" thickBot="1" x14ac:dyDescent="0.35">
      <c r="A64" s="30">
        <v>63</v>
      </c>
      <c r="B64" s="44" t="s">
        <v>77</v>
      </c>
      <c r="C64" s="28" t="s">
        <v>31</v>
      </c>
      <c r="D64" s="30">
        <v>2</v>
      </c>
      <c r="E64" s="28" t="s">
        <v>28</v>
      </c>
      <c r="F64" s="30">
        <v>5</v>
      </c>
      <c r="G64" s="29"/>
      <c r="H64" s="22" t="s">
        <v>99</v>
      </c>
      <c r="I64" s="23">
        <v>7</v>
      </c>
      <c r="J64" s="23">
        <v>3</v>
      </c>
      <c r="P64" s="49">
        <f t="shared" si="3"/>
        <v>-3</v>
      </c>
      <c r="U64" s="51"/>
    </row>
    <row r="65" spans="1:21" ht="15" thickBot="1" x14ac:dyDescent="0.35">
      <c r="A65" s="30">
        <v>64</v>
      </c>
      <c r="B65" s="44" t="s">
        <v>78</v>
      </c>
      <c r="C65" s="28" t="s">
        <v>28</v>
      </c>
      <c r="D65" s="30">
        <v>4</v>
      </c>
      <c r="E65" s="28" t="s">
        <v>81</v>
      </c>
      <c r="F65" s="30">
        <v>3</v>
      </c>
      <c r="G65" s="29"/>
      <c r="H65" s="22" t="s">
        <v>85</v>
      </c>
      <c r="I65" s="23">
        <v>3</v>
      </c>
      <c r="J65" s="23">
        <v>5</v>
      </c>
      <c r="P65" s="49">
        <f t="shared" si="3"/>
        <v>1</v>
      </c>
      <c r="U65" s="51"/>
    </row>
    <row r="66" spans="1:21" ht="15" thickBot="1" x14ac:dyDescent="0.35">
      <c r="A66" s="30">
        <v>65</v>
      </c>
      <c r="B66" s="44" t="s">
        <v>78</v>
      </c>
      <c r="C66" s="28" t="s">
        <v>3</v>
      </c>
      <c r="D66" s="30">
        <v>1</v>
      </c>
      <c r="E66" s="28" t="s">
        <v>31</v>
      </c>
      <c r="F66" s="30">
        <v>4</v>
      </c>
      <c r="G66" s="29"/>
      <c r="H66" s="22" t="s">
        <v>108</v>
      </c>
      <c r="I66" s="23">
        <v>4</v>
      </c>
      <c r="J66" s="23">
        <v>7</v>
      </c>
      <c r="P66" s="49">
        <f t="shared" si="3"/>
        <v>-3</v>
      </c>
      <c r="U66" s="51"/>
    </row>
    <row r="67" spans="1:21" ht="15" thickBot="1" x14ac:dyDescent="0.35">
      <c r="A67" s="30">
        <v>66</v>
      </c>
      <c r="B67" s="44" t="s">
        <v>78</v>
      </c>
      <c r="C67" s="28" t="s">
        <v>43</v>
      </c>
      <c r="D67" s="30">
        <v>14</v>
      </c>
      <c r="E67" s="28" t="s">
        <v>5</v>
      </c>
      <c r="F67" s="30">
        <v>2</v>
      </c>
      <c r="G67" s="29"/>
      <c r="H67" s="22" t="s">
        <v>82</v>
      </c>
      <c r="I67" s="23">
        <v>6</v>
      </c>
      <c r="J67" s="23">
        <v>1</v>
      </c>
      <c r="P67" s="49">
        <f t="shared" si="3"/>
        <v>12</v>
      </c>
      <c r="U67" s="51"/>
    </row>
    <row r="68" spans="1:21" ht="15" thickBot="1" x14ac:dyDescent="0.35">
      <c r="A68" s="30">
        <v>67</v>
      </c>
      <c r="B68" s="44" t="s">
        <v>78</v>
      </c>
      <c r="C68" s="28" t="s">
        <v>29</v>
      </c>
      <c r="D68" s="30">
        <v>5</v>
      </c>
      <c r="E68" s="28" t="s">
        <v>2</v>
      </c>
      <c r="F68" s="30">
        <v>6</v>
      </c>
      <c r="G68" s="29" t="s">
        <v>110</v>
      </c>
      <c r="H68" s="22" t="s">
        <v>109</v>
      </c>
      <c r="I68" s="23">
        <v>9</v>
      </c>
      <c r="J68" s="23">
        <v>2</v>
      </c>
      <c r="P68" s="49">
        <f t="shared" si="3"/>
        <v>-1</v>
      </c>
      <c r="U68" s="51"/>
    </row>
    <row r="69" spans="1:21" ht="15" thickBot="1" x14ac:dyDescent="0.35">
      <c r="A69" s="30">
        <v>49</v>
      </c>
      <c r="B69" s="44" t="s">
        <v>105</v>
      </c>
      <c r="C69" s="28" t="s">
        <v>28</v>
      </c>
      <c r="D69" s="30">
        <v>12</v>
      </c>
      <c r="E69" s="28" t="s">
        <v>31</v>
      </c>
      <c r="F69" s="30">
        <v>8</v>
      </c>
      <c r="G69" s="29"/>
      <c r="H69" s="22" t="s">
        <v>85</v>
      </c>
      <c r="I69" s="23">
        <v>3</v>
      </c>
      <c r="J69" s="23">
        <v>7</v>
      </c>
      <c r="P69" s="49">
        <f t="shared" si="3"/>
        <v>4</v>
      </c>
      <c r="U69" s="51"/>
    </row>
    <row r="70" spans="1:21" ht="15" thickBot="1" x14ac:dyDescent="0.35">
      <c r="A70" s="30">
        <v>68</v>
      </c>
      <c r="B70" s="44" t="s">
        <v>79</v>
      </c>
      <c r="C70" s="28" t="s">
        <v>2</v>
      </c>
      <c r="D70" s="30">
        <v>2</v>
      </c>
      <c r="E70" s="28" t="s">
        <v>43</v>
      </c>
      <c r="F70" s="30">
        <v>3</v>
      </c>
      <c r="G70" s="29" t="s">
        <v>92</v>
      </c>
      <c r="H70" s="22" t="s">
        <v>111</v>
      </c>
      <c r="I70" s="23">
        <v>2</v>
      </c>
      <c r="J70" s="23">
        <v>6</v>
      </c>
      <c r="P70" s="49">
        <f t="shared" si="3"/>
        <v>-1</v>
      </c>
      <c r="U70" s="51"/>
    </row>
    <row r="71" spans="1:21" ht="15" thickBot="1" x14ac:dyDescent="0.35">
      <c r="A71" s="30">
        <v>69</v>
      </c>
      <c r="B71" s="44" t="s">
        <v>79</v>
      </c>
      <c r="C71" s="28" t="s">
        <v>28</v>
      </c>
      <c r="D71" s="30">
        <v>10</v>
      </c>
      <c r="E71" s="28" t="s">
        <v>3</v>
      </c>
      <c r="F71" s="30">
        <v>4</v>
      </c>
      <c r="G71" s="29"/>
      <c r="H71" s="22" t="s">
        <v>85</v>
      </c>
      <c r="I71" s="23">
        <v>3</v>
      </c>
      <c r="J71" s="23">
        <v>4</v>
      </c>
      <c r="P71" s="49">
        <f t="shared" si="3"/>
        <v>6</v>
      </c>
      <c r="U71" s="51"/>
    </row>
    <row r="72" spans="1:21" ht="15" thickBot="1" x14ac:dyDescent="0.35">
      <c r="A72" s="30">
        <v>70</v>
      </c>
      <c r="B72" s="44" t="s">
        <v>80</v>
      </c>
      <c r="C72" s="28" t="s">
        <v>81</v>
      </c>
      <c r="D72" s="30">
        <v>3</v>
      </c>
      <c r="E72" s="28" t="s">
        <v>2</v>
      </c>
      <c r="F72" s="30">
        <v>7</v>
      </c>
      <c r="G72" s="29"/>
      <c r="H72" s="22" t="s">
        <v>86</v>
      </c>
      <c r="I72" s="23">
        <v>5</v>
      </c>
      <c r="J72" s="23">
        <v>2</v>
      </c>
      <c r="P72" s="49">
        <f t="shared" si="3"/>
        <v>-4</v>
      </c>
      <c r="U72" s="51"/>
    </row>
    <row r="73" spans="1:21" ht="15" thickBot="1" x14ac:dyDescent="0.35">
      <c r="A73" s="30">
        <v>71</v>
      </c>
      <c r="B73" s="44" t="s">
        <v>80</v>
      </c>
      <c r="C73" s="28" t="s">
        <v>4</v>
      </c>
      <c r="D73" s="30">
        <v>9</v>
      </c>
      <c r="E73" s="28" t="s">
        <v>5</v>
      </c>
      <c r="F73" s="30">
        <v>6</v>
      </c>
      <c r="G73" s="29"/>
      <c r="H73" s="22" t="s">
        <v>89</v>
      </c>
      <c r="I73" s="23">
        <v>8</v>
      </c>
      <c r="J73" s="23">
        <v>1</v>
      </c>
      <c r="P73" s="49">
        <f t="shared" si="3"/>
        <v>3</v>
      </c>
      <c r="U73" s="51"/>
    </row>
    <row r="74" spans="1:21" ht="15" thickBot="1" x14ac:dyDescent="0.35">
      <c r="A74" s="30">
        <v>72</v>
      </c>
      <c r="B74" s="44" t="s">
        <v>80</v>
      </c>
      <c r="C74" s="28" t="s">
        <v>31</v>
      </c>
      <c r="D74" s="30">
        <v>3</v>
      </c>
      <c r="E74" s="28" t="s">
        <v>43</v>
      </c>
      <c r="F74" s="30">
        <v>5</v>
      </c>
      <c r="G74" s="29"/>
      <c r="H74" s="22" t="s">
        <v>87</v>
      </c>
      <c r="I74" s="23">
        <v>7</v>
      </c>
      <c r="J74" s="23">
        <v>6</v>
      </c>
      <c r="P74" s="49">
        <f t="shared" si="3"/>
        <v>-2</v>
      </c>
      <c r="U74" s="51"/>
    </row>
    <row r="75" spans="1:21" ht="15" thickBot="1" x14ac:dyDescent="0.35">
      <c r="A75" s="30" t="s">
        <v>112</v>
      </c>
      <c r="B75" s="44" t="s">
        <v>113</v>
      </c>
      <c r="C75" s="28" t="s">
        <v>43</v>
      </c>
      <c r="D75" s="30">
        <v>4</v>
      </c>
      <c r="E75" s="28" t="s">
        <v>29</v>
      </c>
      <c r="F75" s="30">
        <v>0</v>
      </c>
      <c r="G75" s="29"/>
      <c r="H75" s="22"/>
      <c r="I75" s="23"/>
      <c r="J75" s="23"/>
    </row>
    <row r="76" spans="1:21" ht="15" thickBot="1" x14ac:dyDescent="0.35">
      <c r="A76" s="30" t="s">
        <v>114</v>
      </c>
      <c r="B76" s="44" t="s">
        <v>113</v>
      </c>
      <c r="C76" s="28" t="s">
        <v>2</v>
      </c>
      <c r="D76" s="30">
        <v>3</v>
      </c>
      <c r="E76" s="28" t="s">
        <v>28</v>
      </c>
      <c r="F76" s="30">
        <v>0</v>
      </c>
      <c r="G76" s="29"/>
      <c r="H76" s="22"/>
      <c r="I76" s="23"/>
      <c r="J76" s="23"/>
    </row>
    <row r="77" spans="1:21" ht="15" thickBot="1" x14ac:dyDescent="0.35">
      <c r="A77" s="30" t="s">
        <v>115</v>
      </c>
      <c r="B77" s="40" t="s">
        <v>116</v>
      </c>
      <c r="C77" s="28" t="s">
        <v>2</v>
      </c>
      <c r="D77" s="30">
        <v>4</v>
      </c>
      <c r="E77" s="28" t="s">
        <v>43</v>
      </c>
      <c r="F77" s="30">
        <v>1</v>
      </c>
      <c r="G77" s="29"/>
      <c r="H77" s="22"/>
      <c r="I77" s="23"/>
      <c r="J77" s="23"/>
    </row>
    <row r="78" spans="1:21" x14ac:dyDescent="0.3">
      <c r="A78" s="21"/>
      <c r="B78" s="41"/>
      <c r="C78" s="18"/>
      <c r="D78" s="19"/>
      <c r="E78" s="18"/>
      <c r="F78" s="19"/>
      <c r="G78" s="18"/>
      <c r="H78" s="22"/>
      <c r="I78" s="23"/>
      <c r="J78" s="23"/>
    </row>
    <row r="79" spans="1:21" x14ac:dyDescent="0.3">
      <c r="A79" s="21"/>
      <c r="B79" s="41"/>
      <c r="C79" s="18"/>
      <c r="D79" s="19"/>
      <c r="E79" s="18"/>
      <c r="F79" s="19"/>
      <c r="G79" s="18"/>
      <c r="H79" s="22"/>
      <c r="I79" s="23"/>
      <c r="J79" s="23"/>
    </row>
    <row r="80" spans="1:21" x14ac:dyDescent="0.3">
      <c r="A80" s="21"/>
      <c r="B80" s="41"/>
      <c r="C80" s="18"/>
      <c r="D80" s="19"/>
      <c r="E80" s="18"/>
      <c r="F80" s="19"/>
      <c r="G80" s="18"/>
      <c r="H80" s="22"/>
      <c r="I80" s="23"/>
      <c r="J80" s="23"/>
    </row>
    <row r="81" spans="1:10" x14ac:dyDescent="0.3">
      <c r="A81" s="21"/>
      <c r="B81" s="41"/>
      <c r="C81" s="18"/>
      <c r="D81" s="19"/>
      <c r="E81" s="18"/>
      <c r="F81" s="19"/>
      <c r="G81" s="18"/>
      <c r="H81" s="22"/>
      <c r="I81" s="23"/>
      <c r="J81" s="23"/>
    </row>
    <row r="82" spans="1:10" x14ac:dyDescent="0.3">
      <c r="A82" s="21"/>
      <c r="B82" s="41"/>
      <c r="C82" s="18"/>
      <c r="D82" s="19"/>
      <c r="E82" s="18"/>
      <c r="F82" s="19"/>
      <c r="G82" s="20"/>
      <c r="H82" s="22"/>
      <c r="I82" s="23"/>
      <c r="J82" s="23"/>
    </row>
    <row r="83" spans="1:10" x14ac:dyDescent="0.3">
      <c r="A83" s="21"/>
      <c r="B83" s="41"/>
      <c r="C83" s="18"/>
      <c r="D83" s="19"/>
      <c r="E83" s="20"/>
      <c r="F83" s="24"/>
      <c r="G83" s="18"/>
      <c r="H83" s="22"/>
      <c r="I83" s="23"/>
      <c r="J83" s="23"/>
    </row>
    <row r="84" spans="1:10" x14ac:dyDescent="0.3">
      <c r="A84" s="21"/>
      <c r="B84" s="41"/>
      <c r="C84" s="18"/>
      <c r="D84" s="19"/>
      <c r="E84" s="18"/>
      <c r="F84" s="19"/>
      <c r="G84" s="18"/>
      <c r="H84" s="22"/>
      <c r="I84" s="23"/>
      <c r="J84" s="23"/>
    </row>
    <row r="85" spans="1:10" x14ac:dyDescent="0.3">
      <c r="A85" s="21"/>
      <c r="B85" s="41"/>
      <c r="C85" s="18"/>
      <c r="D85" s="19"/>
      <c r="E85" s="18"/>
      <c r="F85" s="19"/>
      <c r="G85" s="18"/>
      <c r="H85" s="22"/>
      <c r="I85" s="23"/>
      <c r="J85" s="23"/>
    </row>
    <row r="86" spans="1:10" x14ac:dyDescent="0.3">
      <c r="A86" s="21"/>
      <c r="B86" s="41"/>
      <c r="C86" s="18"/>
      <c r="D86" s="19"/>
      <c r="E86" s="18"/>
      <c r="F86" s="19"/>
      <c r="G86" s="18"/>
      <c r="H86" s="22"/>
      <c r="I86" s="23"/>
      <c r="J86" s="23"/>
    </row>
    <row r="87" spans="1:10" x14ac:dyDescent="0.3">
      <c r="A87" s="21"/>
      <c r="B87" s="41"/>
      <c r="C87" s="18"/>
      <c r="D87" s="19"/>
      <c r="E87" s="18"/>
      <c r="F87" s="19"/>
      <c r="G87" s="18"/>
      <c r="H87" s="22"/>
      <c r="I87" s="23"/>
      <c r="J87" s="23"/>
    </row>
    <row r="88" spans="1:10" x14ac:dyDescent="0.3">
      <c r="A88" s="21"/>
      <c r="B88" s="41"/>
      <c r="C88" s="18"/>
      <c r="D88" s="19"/>
      <c r="E88" s="18"/>
      <c r="F88" s="19"/>
      <c r="G88" s="18"/>
      <c r="H88" s="22"/>
      <c r="I88" s="23"/>
      <c r="J88" s="23"/>
    </row>
    <row r="89" spans="1:10" x14ac:dyDescent="0.3">
      <c r="A89" s="21"/>
      <c r="B89" s="41"/>
      <c r="C89" s="18"/>
      <c r="D89" s="19"/>
      <c r="E89" s="18"/>
      <c r="F89" s="19"/>
      <c r="G89" s="18"/>
      <c r="H89" s="22"/>
      <c r="I89" s="23"/>
      <c r="J89" s="23"/>
    </row>
    <row r="90" spans="1:10" x14ac:dyDescent="0.3">
      <c r="A90" s="21"/>
      <c r="B90" s="41"/>
      <c r="C90" s="18"/>
      <c r="D90" s="19"/>
      <c r="E90" s="18"/>
      <c r="F90" s="19"/>
      <c r="G90" s="18"/>
      <c r="H90" s="22"/>
      <c r="I90" s="23"/>
      <c r="J90" s="23"/>
    </row>
    <row r="91" spans="1:10" x14ac:dyDescent="0.3">
      <c r="A91" s="11"/>
      <c r="B91" s="42"/>
      <c r="C91" s="18"/>
      <c r="D91" s="19"/>
      <c r="E91" s="18"/>
      <c r="F91" s="19"/>
      <c r="G91" s="13"/>
      <c r="H91" s="22"/>
      <c r="I91" s="23"/>
      <c r="J91" s="23"/>
    </row>
    <row r="92" spans="1:10" x14ac:dyDescent="0.3">
      <c r="A92" s="11"/>
      <c r="B92" s="42"/>
      <c r="C92" s="12"/>
      <c r="D92" s="11"/>
      <c r="E92" s="12"/>
      <c r="F92" s="11"/>
      <c r="G92" s="13"/>
      <c r="H92" s="22"/>
      <c r="I92" s="23"/>
      <c r="J92" s="23"/>
    </row>
    <row r="93" spans="1:10" x14ac:dyDescent="0.3">
      <c r="A93" s="11"/>
      <c r="B93" s="42"/>
      <c r="C93" s="12"/>
      <c r="D93" s="11"/>
      <c r="E93" s="12"/>
      <c r="F93" s="11"/>
      <c r="G93" s="13"/>
      <c r="H93" s="22"/>
      <c r="I93" s="23"/>
      <c r="J93" s="23"/>
    </row>
    <row r="94" spans="1:10" x14ac:dyDescent="0.3">
      <c r="A94" s="11"/>
      <c r="B94" s="42"/>
      <c r="C94" s="12"/>
      <c r="D94" s="11"/>
      <c r="E94" s="12"/>
      <c r="F94" s="11"/>
      <c r="G94" s="13"/>
      <c r="H94" s="22"/>
      <c r="I94" s="23"/>
      <c r="J94" s="23"/>
    </row>
    <row r="95" spans="1:10" x14ac:dyDescent="0.3">
      <c r="A95" s="11"/>
      <c r="B95" s="42"/>
      <c r="C95" s="12"/>
      <c r="D95" s="11"/>
      <c r="E95" s="12"/>
      <c r="F95" s="11"/>
      <c r="G95" s="13"/>
      <c r="H95" s="22"/>
      <c r="I95" s="23"/>
      <c r="J95" s="23"/>
    </row>
    <row r="96" spans="1:10" x14ac:dyDescent="0.3">
      <c r="A96" s="11"/>
      <c r="B96" s="42"/>
      <c r="C96" s="12"/>
      <c r="D96" s="11"/>
      <c r="E96" s="12"/>
      <c r="F96" s="11"/>
      <c r="G96" s="13"/>
      <c r="H96" s="22"/>
      <c r="I96" s="23"/>
      <c r="J96" s="23"/>
    </row>
    <row r="97" spans="1:10" x14ac:dyDescent="0.3">
      <c r="A97" s="11"/>
      <c r="B97" s="42"/>
      <c r="C97" s="12"/>
      <c r="D97" s="11"/>
      <c r="E97" s="12"/>
      <c r="F97" s="11"/>
      <c r="G97" s="13"/>
      <c r="H97" s="22"/>
      <c r="I97" s="23"/>
      <c r="J97" s="23"/>
    </row>
    <row r="98" spans="1:10" x14ac:dyDescent="0.3">
      <c r="A98" s="11"/>
      <c r="B98" s="42"/>
      <c r="C98" s="12"/>
      <c r="D98" s="11"/>
      <c r="E98" s="12"/>
      <c r="F98" s="11"/>
      <c r="G98" s="13"/>
      <c r="H98" s="22"/>
      <c r="I98" s="23"/>
      <c r="J98" s="23"/>
    </row>
    <row r="99" spans="1:10" x14ac:dyDescent="0.3">
      <c r="C99" s="12"/>
      <c r="D99" s="11"/>
      <c r="E99" s="12"/>
      <c r="F99" s="11"/>
    </row>
    <row r="100" spans="1:10" x14ac:dyDescent="0.3">
      <c r="H100">
        <f>D101+F101</f>
        <v>765</v>
      </c>
    </row>
    <row r="101" spans="1:10" x14ac:dyDescent="0.3">
      <c r="D101" s="1">
        <f>SUM(D3:D99)</f>
        <v>397</v>
      </c>
      <c r="F101" s="1">
        <f>SUM(F3:F99)</f>
        <v>368</v>
      </c>
    </row>
  </sheetData>
  <sortState xmlns:xlrd2="http://schemas.microsoft.com/office/spreadsheetml/2017/richdata2" ref="A3:J58">
    <sortCondition ref="A3"/>
  </sortState>
  <pageMargins left="0.7" right="0.7" top="0.75" bottom="0.75" header="0.3" footer="0.3"/>
  <pageSetup orientation="portrait" verticalDpi="2" r:id="rId1"/>
  <webPublishItems count="1">
    <webPublishItem id="32091" divId="MCHC 2017-18 Standings Worksheet_32091" sourceType="range" sourceRef="A1:G77" destinationFile="C:\Users\casse\OneDrive\Webmaster\methockey\Results\Results-include-2018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14</v>
      </c>
      <c r="B1" s="1" t="s">
        <v>13</v>
      </c>
      <c r="C1" s="1" t="s">
        <v>0</v>
      </c>
      <c r="D1" s="1" t="s">
        <v>33</v>
      </c>
      <c r="E1" s="1" t="s">
        <v>1</v>
      </c>
      <c r="F1" s="1" t="s">
        <v>34</v>
      </c>
      <c r="G1" s="1" t="s">
        <v>35</v>
      </c>
    </row>
    <row r="2" spans="1:7" ht="15" thickBot="1" x14ac:dyDescent="0.35">
      <c r="A2" s="26">
        <v>3</v>
      </c>
      <c r="B2" s="25">
        <v>41916</v>
      </c>
      <c r="C2" s="27" t="s">
        <v>5</v>
      </c>
      <c r="D2" s="27"/>
      <c r="E2" s="28" t="s">
        <v>31</v>
      </c>
      <c r="F2" s="28"/>
      <c r="G2" s="29"/>
    </row>
    <row r="3" spans="1:7" ht="15" thickBot="1" x14ac:dyDescent="0.35">
      <c r="A3" s="26">
        <v>4</v>
      </c>
      <c r="B3" s="25">
        <v>41916</v>
      </c>
      <c r="C3" s="28" t="s">
        <v>28</v>
      </c>
      <c r="D3" s="28"/>
      <c r="E3" s="28" t="s">
        <v>2</v>
      </c>
      <c r="F3" s="28"/>
      <c r="G3" s="29"/>
    </row>
    <row r="4" spans="1:7" ht="15" thickBot="1" x14ac:dyDescent="0.35">
      <c r="A4" s="26">
        <v>5</v>
      </c>
      <c r="B4" s="25">
        <v>41917</v>
      </c>
      <c r="C4" s="27" t="s">
        <v>2</v>
      </c>
      <c r="D4" s="27"/>
      <c r="E4" s="28" t="s">
        <v>31</v>
      </c>
      <c r="F4" s="28"/>
      <c r="G4" s="29"/>
    </row>
    <row r="5" spans="1:7" ht="15" thickBot="1" x14ac:dyDescent="0.35">
      <c r="A5" s="26"/>
      <c r="B5" s="25"/>
      <c r="C5" s="27"/>
      <c r="D5" s="27"/>
      <c r="E5" s="28"/>
      <c r="F5" s="28"/>
      <c r="G5" s="29"/>
    </row>
    <row r="6" spans="1:7" ht="15" thickBot="1" x14ac:dyDescent="0.35">
      <c r="A6" s="26">
        <v>6</v>
      </c>
      <c r="B6" s="25">
        <v>41922</v>
      </c>
      <c r="C6" s="27" t="s">
        <v>31</v>
      </c>
      <c r="D6" s="27"/>
      <c r="E6" s="28" t="s">
        <v>29</v>
      </c>
      <c r="F6" s="28"/>
      <c r="G6" s="29"/>
    </row>
    <row r="7" spans="1:7" ht="15" thickBot="1" x14ac:dyDescent="0.35">
      <c r="A7" s="26">
        <v>8</v>
      </c>
      <c r="B7" s="25">
        <v>41923</v>
      </c>
      <c r="C7" s="28" t="s">
        <v>28</v>
      </c>
      <c r="D7" s="28"/>
      <c r="E7" s="28" t="s">
        <v>4</v>
      </c>
      <c r="F7" s="28"/>
      <c r="G7" s="29"/>
    </row>
    <row r="8" spans="1:7" ht="15" thickBot="1" x14ac:dyDescent="0.35">
      <c r="A8" s="26">
        <v>9</v>
      </c>
      <c r="B8" s="25">
        <v>41924</v>
      </c>
      <c r="C8" s="27" t="s">
        <v>2</v>
      </c>
      <c r="D8" s="27"/>
      <c r="E8" s="28" t="s">
        <v>4</v>
      </c>
      <c r="F8" s="28"/>
      <c r="G8" s="29"/>
    </row>
    <row r="9" spans="1:7" ht="15" thickBot="1" x14ac:dyDescent="0.35">
      <c r="A9" s="26">
        <v>10</v>
      </c>
      <c r="B9" s="25">
        <v>41924</v>
      </c>
      <c r="C9" s="27" t="s">
        <v>29</v>
      </c>
      <c r="D9" s="27"/>
      <c r="E9" s="27" t="s">
        <v>28</v>
      </c>
      <c r="F9" s="27"/>
      <c r="G9" s="29"/>
    </row>
    <row r="10" spans="1:7" ht="15" thickBot="1" x14ac:dyDescent="0.35">
      <c r="A10" s="26"/>
      <c r="B10" s="25"/>
      <c r="C10" s="27"/>
      <c r="D10" s="27"/>
      <c r="E10" s="27"/>
      <c r="F10" s="27"/>
      <c r="G10" s="29"/>
    </row>
    <row r="11" spans="1:7" ht="15" thickBot="1" x14ac:dyDescent="0.35">
      <c r="A11" s="26">
        <v>12</v>
      </c>
      <c r="B11" s="25">
        <v>41929</v>
      </c>
      <c r="C11" s="27" t="s">
        <v>31</v>
      </c>
      <c r="D11" s="27"/>
      <c r="E11" s="28" t="s">
        <v>5</v>
      </c>
      <c r="F11" s="28"/>
      <c r="G11" s="29"/>
    </row>
    <row r="12" spans="1:7" ht="15" thickBot="1" x14ac:dyDescent="0.35">
      <c r="A12" s="26">
        <v>13</v>
      </c>
      <c r="B12" s="25">
        <v>41929</v>
      </c>
      <c r="C12" s="27" t="s">
        <v>4</v>
      </c>
      <c r="D12" s="27"/>
      <c r="E12" s="27" t="s">
        <v>2</v>
      </c>
      <c r="F12" s="27"/>
      <c r="G12" s="29"/>
    </row>
    <row r="13" spans="1:7" ht="15" thickBot="1" x14ac:dyDescent="0.35">
      <c r="A13" s="26">
        <v>15</v>
      </c>
      <c r="B13" s="25">
        <v>41930</v>
      </c>
      <c r="C13" s="28" t="s">
        <v>28</v>
      </c>
      <c r="D13" s="28"/>
      <c r="E13" s="28" t="s">
        <v>29</v>
      </c>
      <c r="F13" s="28"/>
      <c r="G13" s="29"/>
    </row>
    <row r="14" spans="1:7" ht="15" thickBot="1" x14ac:dyDescent="0.35">
      <c r="A14" s="26">
        <v>16</v>
      </c>
      <c r="B14" s="25">
        <v>41931</v>
      </c>
      <c r="C14" s="27" t="s">
        <v>2</v>
      </c>
      <c r="D14" s="27"/>
      <c r="E14" s="28" t="s">
        <v>5</v>
      </c>
      <c r="F14" s="28"/>
      <c r="G14" s="29"/>
    </row>
    <row r="15" spans="1:7" ht="15" thickBot="1" x14ac:dyDescent="0.35">
      <c r="A15" s="26"/>
      <c r="B15" s="25"/>
      <c r="C15" s="27"/>
      <c r="D15" s="27"/>
      <c r="E15" s="28"/>
      <c r="F15" s="28"/>
      <c r="G15" s="29"/>
    </row>
    <row r="16" spans="1:7" ht="15" thickBot="1" x14ac:dyDescent="0.35">
      <c r="A16" s="30">
        <v>17</v>
      </c>
      <c r="B16" s="25">
        <v>41936</v>
      </c>
      <c r="C16" s="28" t="s">
        <v>31</v>
      </c>
      <c r="D16" s="28"/>
      <c r="E16" s="28" t="s">
        <v>28</v>
      </c>
      <c r="F16" s="28"/>
      <c r="G16" s="29"/>
    </row>
    <row r="17" spans="1:7" ht="15" thickBot="1" x14ac:dyDescent="0.35">
      <c r="A17" s="30">
        <v>18</v>
      </c>
      <c r="B17" s="25">
        <v>41937</v>
      </c>
      <c r="C17" s="27" t="s">
        <v>5</v>
      </c>
      <c r="D17" s="27"/>
      <c r="E17" s="27" t="s">
        <v>32</v>
      </c>
      <c r="F17" s="27"/>
      <c r="G17" s="29"/>
    </row>
    <row r="18" spans="1:7" ht="15" thickBot="1" x14ac:dyDescent="0.35">
      <c r="A18" s="30">
        <v>20</v>
      </c>
      <c r="B18" s="25">
        <v>41937</v>
      </c>
      <c r="C18" s="28" t="s">
        <v>28</v>
      </c>
      <c r="D18" s="28"/>
      <c r="E18" s="27" t="s">
        <v>31</v>
      </c>
      <c r="F18" s="27"/>
      <c r="G18" s="29"/>
    </row>
    <row r="19" spans="1:7" ht="15" thickBot="1" x14ac:dyDescent="0.35">
      <c r="A19" s="30">
        <v>22</v>
      </c>
      <c r="B19" s="25">
        <v>41938</v>
      </c>
      <c r="C19" s="27" t="s">
        <v>32</v>
      </c>
      <c r="D19" s="27"/>
      <c r="E19" s="27" t="s">
        <v>31</v>
      </c>
      <c r="F19" s="27"/>
      <c r="G19" s="29"/>
    </row>
    <row r="20" spans="1:7" ht="15" thickBot="1" x14ac:dyDescent="0.35">
      <c r="A20" s="30">
        <v>23</v>
      </c>
      <c r="B20" s="25">
        <v>41938</v>
      </c>
      <c r="C20" s="27" t="s">
        <v>29</v>
      </c>
      <c r="D20" s="27"/>
      <c r="E20" s="27" t="s">
        <v>5</v>
      </c>
      <c r="F20" s="27"/>
      <c r="G20" s="29"/>
    </row>
    <row r="21" spans="1:7" ht="15" thickBot="1" x14ac:dyDescent="0.35">
      <c r="A21" s="30"/>
      <c r="B21" s="25"/>
      <c r="C21" s="27"/>
      <c r="D21" s="27"/>
      <c r="E21" s="27"/>
      <c r="F21" s="27"/>
      <c r="G21" s="29"/>
    </row>
    <row r="22" spans="1:7" ht="15" thickBot="1" x14ac:dyDescent="0.35">
      <c r="A22" s="26">
        <v>26</v>
      </c>
      <c r="B22" s="25">
        <v>41943</v>
      </c>
      <c r="C22" s="27" t="s">
        <v>32</v>
      </c>
      <c r="D22" s="27"/>
      <c r="E22" s="27" t="s">
        <v>2</v>
      </c>
      <c r="F22" s="27"/>
      <c r="G22" s="29"/>
    </row>
    <row r="23" spans="1:7" ht="15" thickBot="1" x14ac:dyDescent="0.35">
      <c r="A23" s="26">
        <v>27</v>
      </c>
      <c r="B23" s="25">
        <v>41944</v>
      </c>
      <c r="C23" s="27" t="s">
        <v>29</v>
      </c>
      <c r="D23" s="27"/>
      <c r="E23" s="27" t="s">
        <v>32</v>
      </c>
      <c r="F23" s="27"/>
      <c r="G23" s="29"/>
    </row>
    <row r="24" spans="1:7" ht="15" thickBot="1" x14ac:dyDescent="0.35">
      <c r="A24" s="26">
        <v>29</v>
      </c>
      <c r="B24" s="25">
        <v>41944</v>
      </c>
      <c r="C24" s="27" t="s">
        <v>4</v>
      </c>
      <c r="D24" s="27"/>
      <c r="E24" s="27" t="s">
        <v>31</v>
      </c>
      <c r="F24" s="27"/>
      <c r="G24" s="29"/>
    </row>
    <row r="25" spans="1:7" ht="15" thickBot="1" x14ac:dyDescent="0.35">
      <c r="A25" s="30">
        <v>30</v>
      </c>
      <c r="B25" s="25">
        <v>41945</v>
      </c>
      <c r="C25" s="28" t="s">
        <v>2</v>
      </c>
      <c r="D25" s="28"/>
      <c r="E25" s="28" t="s">
        <v>29</v>
      </c>
      <c r="F25" s="28"/>
      <c r="G25" s="29"/>
    </row>
    <row r="26" spans="1:7" ht="15" thickBot="1" x14ac:dyDescent="0.35">
      <c r="A26" s="30">
        <v>31</v>
      </c>
      <c r="B26" s="25">
        <v>41945</v>
      </c>
      <c r="C26" s="28" t="s">
        <v>32</v>
      </c>
      <c r="D26" s="28"/>
      <c r="E26" s="28" t="s">
        <v>28</v>
      </c>
      <c r="F26" s="28"/>
      <c r="G26" s="29"/>
    </row>
    <row r="27" spans="1:7" ht="15" thickBot="1" x14ac:dyDescent="0.35">
      <c r="A27" s="30"/>
      <c r="B27" s="25"/>
      <c r="C27" s="28"/>
      <c r="D27" s="28"/>
      <c r="E27" s="28"/>
      <c r="F27" s="28"/>
      <c r="G27" s="29"/>
    </row>
    <row r="28" spans="1:7" ht="15" thickBot="1" x14ac:dyDescent="0.35">
      <c r="A28" s="30">
        <v>32</v>
      </c>
      <c r="B28" s="25">
        <v>41950</v>
      </c>
      <c r="C28" s="28" t="s">
        <v>31</v>
      </c>
      <c r="D28" s="28"/>
      <c r="E28" s="28" t="s">
        <v>32</v>
      </c>
      <c r="F28" s="28"/>
      <c r="G28" s="29"/>
    </row>
    <row r="29" spans="1:7" ht="15" thickBot="1" x14ac:dyDescent="0.35">
      <c r="A29" s="30">
        <v>41</v>
      </c>
      <c r="B29" s="25">
        <v>41951</v>
      </c>
      <c r="C29" s="28" t="s">
        <v>28</v>
      </c>
      <c r="D29" s="28"/>
      <c r="E29" s="28" t="s">
        <v>32</v>
      </c>
      <c r="F29" s="28"/>
      <c r="G29" s="29"/>
    </row>
    <row r="30" spans="1:7" ht="15" thickBot="1" x14ac:dyDescent="0.35">
      <c r="A30" s="30">
        <v>34</v>
      </c>
      <c r="B30" s="25">
        <v>41951</v>
      </c>
      <c r="C30" s="28" t="s">
        <v>29</v>
      </c>
      <c r="D30" s="28"/>
      <c r="E30" s="28" t="s">
        <v>31</v>
      </c>
      <c r="F30" s="28"/>
      <c r="G30" s="29"/>
    </row>
    <row r="31" spans="1:7" ht="15" thickBot="1" x14ac:dyDescent="0.35">
      <c r="A31" s="30">
        <v>35</v>
      </c>
      <c r="B31" s="25">
        <v>41951</v>
      </c>
      <c r="C31" s="28" t="s">
        <v>5</v>
      </c>
      <c r="D31" s="28"/>
      <c r="E31" s="28" t="s">
        <v>4</v>
      </c>
      <c r="F31" s="28"/>
      <c r="G31" s="29"/>
    </row>
    <row r="32" spans="1:7" ht="15" thickBot="1" x14ac:dyDescent="0.35">
      <c r="A32" s="30"/>
      <c r="B32" s="25"/>
      <c r="C32" s="28"/>
      <c r="D32" s="28"/>
      <c r="E32" s="28"/>
      <c r="F32" s="28"/>
      <c r="G32" s="29"/>
    </row>
    <row r="33" spans="1:7" ht="15" thickBot="1" x14ac:dyDescent="0.35">
      <c r="A33" s="30">
        <v>37</v>
      </c>
      <c r="B33" s="25">
        <v>41957</v>
      </c>
      <c r="C33" s="28" t="s">
        <v>3</v>
      </c>
      <c r="D33" s="28"/>
      <c r="E33" s="28" t="s">
        <v>32</v>
      </c>
      <c r="F33" s="28"/>
      <c r="G33" s="29"/>
    </row>
    <row r="34" spans="1:7" ht="15" thickBot="1" x14ac:dyDescent="0.35">
      <c r="A34" s="30">
        <v>21</v>
      </c>
      <c r="B34" s="25">
        <v>41957</v>
      </c>
      <c r="C34" s="28" t="s">
        <v>2</v>
      </c>
      <c r="D34" s="28"/>
      <c r="E34" s="28" t="s">
        <v>28</v>
      </c>
      <c r="F34" s="28"/>
      <c r="G34" s="29"/>
    </row>
    <row r="35" spans="1:7" ht="15" thickBot="1" x14ac:dyDescent="0.35">
      <c r="A35" s="30">
        <v>38</v>
      </c>
      <c r="B35" s="25">
        <v>41957</v>
      </c>
      <c r="C35" s="28" t="s">
        <v>31</v>
      </c>
      <c r="D35" s="28"/>
      <c r="E35" s="28" t="s">
        <v>4</v>
      </c>
      <c r="F35" s="28"/>
      <c r="G35" s="29"/>
    </row>
    <row r="36" spans="1:7" ht="15" thickBot="1" x14ac:dyDescent="0.35">
      <c r="A36" s="30">
        <v>40</v>
      </c>
      <c r="B36" s="25">
        <v>41958</v>
      </c>
      <c r="C36" s="28" t="s">
        <v>28</v>
      </c>
      <c r="D36" s="28"/>
      <c r="E36" s="28" t="s">
        <v>5</v>
      </c>
      <c r="F36" s="28"/>
      <c r="G36" s="29"/>
    </row>
    <row r="37" spans="1:7" ht="15" thickBot="1" x14ac:dyDescent="0.35">
      <c r="A37" s="30"/>
      <c r="B37" s="25"/>
      <c r="C37" s="28"/>
      <c r="D37" s="28"/>
      <c r="E37" s="28"/>
      <c r="F37" s="28"/>
      <c r="G37" s="29"/>
    </row>
    <row r="38" spans="1:7" ht="15" thickBot="1" x14ac:dyDescent="0.35">
      <c r="A38" s="30">
        <v>42</v>
      </c>
      <c r="B38" s="25">
        <v>41964</v>
      </c>
      <c r="C38" s="28" t="s">
        <v>3</v>
      </c>
      <c r="D38" s="28"/>
      <c r="E38" s="28" t="s">
        <v>5</v>
      </c>
      <c r="F38" s="28"/>
      <c r="G38" s="29"/>
    </row>
    <row r="39" spans="1:7" ht="15" thickBot="1" x14ac:dyDescent="0.35">
      <c r="A39" s="30">
        <v>44</v>
      </c>
      <c r="B39" s="25">
        <v>41964</v>
      </c>
      <c r="C39" s="28" t="s">
        <v>31</v>
      </c>
      <c r="D39" s="28"/>
      <c r="E39" s="28" t="s">
        <v>2</v>
      </c>
      <c r="F39" s="28"/>
      <c r="G39" s="29"/>
    </row>
    <row r="40" spans="1:7" ht="15" thickBot="1" x14ac:dyDescent="0.35">
      <c r="A40" s="30">
        <v>45</v>
      </c>
      <c r="B40" s="25">
        <v>41965</v>
      </c>
      <c r="C40" s="28" t="s">
        <v>3</v>
      </c>
      <c r="D40" s="28"/>
      <c r="E40" s="28" t="s">
        <v>28</v>
      </c>
      <c r="F40" s="28"/>
      <c r="G40" s="29"/>
    </row>
    <row r="41" spans="1:7" ht="15" thickBot="1" x14ac:dyDescent="0.35">
      <c r="A41" s="30">
        <v>46</v>
      </c>
      <c r="B41" s="25">
        <v>41965</v>
      </c>
      <c r="C41" s="28" t="s">
        <v>5</v>
      </c>
      <c r="D41" s="28"/>
      <c r="E41" s="28" t="s">
        <v>2</v>
      </c>
      <c r="F41" s="28"/>
      <c r="G41" s="29"/>
    </row>
    <row r="42" spans="1:7" ht="15" thickBot="1" x14ac:dyDescent="0.35">
      <c r="A42" s="30">
        <v>47</v>
      </c>
      <c r="B42" s="25">
        <v>41966</v>
      </c>
      <c r="C42" s="28" t="s">
        <v>32</v>
      </c>
      <c r="D42" s="28"/>
      <c r="E42" s="28" t="s">
        <v>4</v>
      </c>
      <c r="F42" s="28"/>
      <c r="G42" s="29"/>
    </row>
    <row r="43" spans="1:7" ht="15" thickBot="1" x14ac:dyDescent="0.35">
      <c r="A43" s="30"/>
      <c r="B43" s="25"/>
      <c r="C43" s="28"/>
      <c r="D43" s="28"/>
      <c r="E43" s="28"/>
      <c r="F43" s="28"/>
      <c r="G43" s="29"/>
    </row>
    <row r="44" spans="1:7" ht="15" thickBot="1" x14ac:dyDescent="0.35">
      <c r="A44" s="30">
        <v>48</v>
      </c>
      <c r="B44" s="25">
        <v>41973</v>
      </c>
      <c r="C44" s="28" t="s">
        <v>32</v>
      </c>
      <c r="D44" s="28"/>
      <c r="E44" s="28" t="s">
        <v>29</v>
      </c>
      <c r="F44" s="28"/>
      <c r="G44" s="29"/>
    </row>
    <row r="45" spans="1:7" ht="15" thickBot="1" x14ac:dyDescent="0.35">
      <c r="A45" s="30"/>
      <c r="B45" s="25"/>
      <c r="C45" s="28"/>
      <c r="D45" s="28"/>
      <c r="E45" s="28"/>
      <c r="F45" s="28"/>
      <c r="G45" s="29"/>
    </row>
    <row r="46" spans="1:7" ht="15" thickBot="1" x14ac:dyDescent="0.35">
      <c r="A46" s="30">
        <v>49</v>
      </c>
      <c r="B46" s="25">
        <v>41978</v>
      </c>
      <c r="C46" s="28" t="s">
        <v>31</v>
      </c>
      <c r="D46" s="28"/>
      <c r="E46" s="28" t="s">
        <v>3</v>
      </c>
      <c r="F46" s="28"/>
      <c r="G46" s="29"/>
    </row>
    <row r="47" spans="1:7" ht="15" thickBot="1" x14ac:dyDescent="0.35">
      <c r="A47" s="30">
        <v>50</v>
      </c>
      <c r="B47" s="25">
        <v>41978</v>
      </c>
      <c r="C47" s="28" t="s">
        <v>4</v>
      </c>
      <c r="D47" s="28"/>
      <c r="E47" s="28" t="s">
        <v>32</v>
      </c>
      <c r="F47" s="28"/>
      <c r="G47" s="29"/>
    </row>
    <row r="48" spans="1:7" ht="15" thickBot="1" x14ac:dyDescent="0.35">
      <c r="A48" s="30">
        <v>51</v>
      </c>
      <c r="B48" s="25">
        <v>41979</v>
      </c>
      <c r="C48" s="28" t="s">
        <v>5</v>
      </c>
      <c r="D48" s="28"/>
      <c r="E48" s="28" t="s">
        <v>28</v>
      </c>
      <c r="F48" s="28"/>
      <c r="G48" s="29"/>
    </row>
    <row r="49" spans="1:7" ht="15" thickBot="1" x14ac:dyDescent="0.35">
      <c r="A49" s="30">
        <v>53</v>
      </c>
      <c r="B49" s="25">
        <v>41980</v>
      </c>
      <c r="C49" s="28" t="s">
        <v>4</v>
      </c>
      <c r="D49" s="28"/>
      <c r="E49" s="28" t="s">
        <v>29</v>
      </c>
      <c r="F49" s="28"/>
      <c r="G49" s="29"/>
    </row>
    <row r="50" spans="1:7" ht="15" thickBot="1" x14ac:dyDescent="0.35">
      <c r="A50" s="30"/>
      <c r="B50" s="25"/>
      <c r="C50" s="28"/>
      <c r="D50" s="28"/>
      <c r="E50" s="28"/>
      <c r="F50" s="28"/>
      <c r="G50" s="29"/>
    </row>
    <row r="51" spans="1:7" ht="15" thickBot="1" x14ac:dyDescent="0.35">
      <c r="A51" s="30">
        <v>54</v>
      </c>
      <c r="B51" s="25">
        <v>42020</v>
      </c>
      <c r="C51" s="28" t="s">
        <v>3</v>
      </c>
      <c r="D51" s="28"/>
      <c r="E51" s="28" t="s">
        <v>29</v>
      </c>
      <c r="F51" s="28"/>
      <c r="G51" s="29"/>
    </row>
    <row r="52" spans="1:7" ht="15" thickBot="1" x14ac:dyDescent="0.35">
      <c r="A52" s="30">
        <v>55</v>
      </c>
      <c r="B52" s="25">
        <v>42021</v>
      </c>
      <c r="C52" s="28" t="s">
        <v>3</v>
      </c>
      <c r="D52" s="28"/>
      <c r="E52" s="28" t="s">
        <v>4</v>
      </c>
      <c r="F52" s="28"/>
      <c r="G52" s="29"/>
    </row>
    <row r="53" spans="1:7" ht="15" thickBot="1" x14ac:dyDescent="0.35">
      <c r="A53" s="30">
        <v>56</v>
      </c>
      <c r="B53" s="25">
        <v>42022</v>
      </c>
      <c r="C53" s="28" t="s">
        <v>4</v>
      </c>
      <c r="D53" s="28"/>
      <c r="E53" s="28" t="s">
        <v>3</v>
      </c>
      <c r="F53" s="28"/>
      <c r="G53" s="29"/>
    </row>
    <row r="54" spans="1:7" ht="15" thickBot="1" x14ac:dyDescent="0.35">
      <c r="A54" s="30"/>
      <c r="B54" s="25"/>
      <c r="C54" s="28"/>
      <c r="D54" s="28"/>
      <c r="E54" s="28"/>
      <c r="F54" s="28"/>
      <c r="G54" s="29"/>
    </row>
    <row r="55" spans="1:7" ht="15" thickBot="1" x14ac:dyDescent="0.35">
      <c r="A55" s="30">
        <v>57</v>
      </c>
      <c r="B55" s="25">
        <v>42027</v>
      </c>
      <c r="C55" s="28" t="s">
        <v>3</v>
      </c>
      <c r="D55" s="28"/>
      <c r="E55" s="28" t="s">
        <v>2</v>
      </c>
      <c r="F55" s="28"/>
      <c r="G55" s="29"/>
    </row>
    <row r="56" spans="1:7" ht="15" thickBot="1" x14ac:dyDescent="0.35">
      <c r="A56" s="30">
        <v>58</v>
      </c>
      <c r="B56" s="25">
        <v>42028</v>
      </c>
      <c r="C56" s="28" t="s">
        <v>5</v>
      </c>
      <c r="D56" s="28"/>
      <c r="E56" s="28" t="s">
        <v>3</v>
      </c>
      <c r="F56" s="28"/>
      <c r="G56" s="29"/>
    </row>
    <row r="57" spans="1:7" ht="15" thickBot="1" x14ac:dyDescent="0.35">
      <c r="A57" s="30">
        <v>60</v>
      </c>
      <c r="B57" s="25">
        <v>42028</v>
      </c>
      <c r="C57" s="28" t="s">
        <v>29</v>
      </c>
      <c r="D57" s="28"/>
      <c r="E57" s="28" t="s">
        <v>4</v>
      </c>
      <c r="F57" s="28"/>
      <c r="G57" s="29"/>
    </row>
    <row r="58" spans="1:7" ht="15" thickBot="1" x14ac:dyDescent="0.35">
      <c r="A58" s="30">
        <v>61</v>
      </c>
      <c r="B58" s="25">
        <v>42029</v>
      </c>
      <c r="C58" s="28" t="s">
        <v>32</v>
      </c>
      <c r="D58" s="28"/>
      <c r="E58" s="28" t="s">
        <v>5</v>
      </c>
      <c r="F58" s="28"/>
      <c r="G58" s="29"/>
    </row>
    <row r="59" spans="1:7" ht="15" thickBot="1" x14ac:dyDescent="0.35">
      <c r="A59" s="30"/>
      <c r="B59" s="25"/>
      <c r="C59" s="28"/>
      <c r="D59" s="28"/>
      <c r="E59" s="28"/>
      <c r="F59" s="28"/>
      <c r="G59" s="29"/>
    </row>
    <row r="60" spans="1:7" ht="15" thickBot="1" x14ac:dyDescent="0.35">
      <c r="A60" s="30">
        <v>62</v>
      </c>
      <c r="B60" s="25">
        <v>42034</v>
      </c>
      <c r="C60" s="28" t="s">
        <v>2</v>
      </c>
      <c r="D60" s="28"/>
      <c r="E60" s="28" t="s">
        <v>3</v>
      </c>
      <c r="F60" s="28"/>
      <c r="G60" s="29"/>
    </row>
    <row r="61" spans="1:7" ht="15" thickBot="1" x14ac:dyDescent="0.35">
      <c r="A61" s="30">
        <v>65</v>
      </c>
      <c r="B61" s="25">
        <v>42035</v>
      </c>
      <c r="C61" s="28" t="s">
        <v>29</v>
      </c>
      <c r="D61" s="28"/>
      <c r="E61" s="28" t="s">
        <v>2</v>
      </c>
      <c r="F61" s="28"/>
      <c r="G61" s="29"/>
    </row>
    <row r="62" spans="1:7" ht="15" thickBot="1" x14ac:dyDescent="0.35">
      <c r="A62" s="30">
        <v>66</v>
      </c>
      <c r="B62" s="25">
        <v>42035</v>
      </c>
      <c r="C62" s="28" t="s">
        <v>28</v>
      </c>
      <c r="D62" s="28"/>
      <c r="E62" s="28" t="s">
        <v>3</v>
      </c>
      <c r="F62" s="28"/>
      <c r="G62" s="29"/>
    </row>
    <row r="63" spans="1:7" ht="15" thickBot="1" x14ac:dyDescent="0.35">
      <c r="A63" s="30"/>
      <c r="B63" s="25"/>
      <c r="C63" s="28"/>
      <c r="D63" s="28"/>
      <c r="E63" s="28"/>
      <c r="F63" s="28"/>
      <c r="G63" s="29"/>
    </row>
    <row r="64" spans="1:7" ht="15" thickBot="1" x14ac:dyDescent="0.35">
      <c r="A64" s="30">
        <v>67</v>
      </c>
      <c r="B64" s="25">
        <v>42041</v>
      </c>
      <c r="C64" s="28" t="s">
        <v>30</v>
      </c>
      <c r="D64" s="28"/>
      <c r="E64" s="28" t="s">
        <v>31</v>
      </c>
      <c r="F64" s="28"/>
      <c r="G64" s="29"/>
    </row>
    <row r="65" spans="1:7" ht="15" thickBot="1" x14ac:dyDescent="0.35">
      <c r="A65" s="30">
        <v>68</v>
      </c>
      <c r="B65" s="25">
        <v>42041</v>
      </c>
      <c r="C65" s="28" t="s">
        <v>5</v>
      </c>
      <c r="D65" s="28"/>
      <c r="E65" s="28" t="s">
        <v>29</v>
      </c>
      <c r="F65" s="28"/>
      <c r="G65" s="29"/>
    </row>
    <row r="66" spans="1:7" ht="15" thickBot="1" x14ac:dyDescent="0.35">
      <c r="A66" s="30">
        <v>69</v>
      </c>
      <c r="B66" s="25">
        <v>42042</v>
      </c>
      <c r="C66" s="28" t="s">
        <v>29</v>
      </c>
      <c r="D66" s="28"/>
      <c r="E66" s="28" t="s">
        <v>3</v>
      </c>
      <c r="F66" s="28"/>
      <c r="G66" s="29"/>
    </row>
    <row r="67" spans="1:7" ht="15" thickBot="1" x14ac:dyDescent="0.35">
      <c r="A67" s="30">
        <v>70</v>
      </c>
      <c r="B67" s="25">
        <v>42042</v>
      </c>
      <c r="C67" s="28" t="s">
        <v>2</v>
      </c>
      <c r="D67" s="28"/>
      <c r="E67" s="28" t="s">
        <v>32</v>
      </c>
      <c r="F67" s="28"/>
      <c r="G67" s="29"/>
    </row>
    <row r="68" spans="1:7" ht="15" thickBot="1" x14ac:dyDescent="0.35">
      <c r="A68" s="30">
        <v>71</v>
      </c>
      <c r="B68" s="25">
        <v>42042</v>
      </c>
      <c r="C68" s="28" t="s">
        <v>4</v>
      </c>
      <c r="D68" s="28"/>
      <c r="E68" s="28" t="s">
        <v>5</v>
      </c>
      <c r="F68" s="28"/>
      <c r="G68" s="29"/>
    </row>
    <row r="69" spans="1:7" ht="15" thickBot="1" x14ac:dyDescent="0.35">
      <c r="A69" s="30">
        <v>7</v>
      </c>
      <c r="B69" s="25">
        <v>42043</v>
      </c>
      <c r="C69" s="28" t="s">
        <v>4</v>
      </c>
      <c r="D69" s="28"/>
      <c r="E69" s="28" t="s">
        <v>28</v>
      </c>
      <c r="F69" s="28"/>
      <c r="G69" s="29"/>
    </row>
    <row r="70" spans="1:7" ht="15" thickBot="1" x14ac:dyDescent="0.35">
      <c r="A70" s="30">
        <v>72</v>
      </c>
      <c r="B70" s="25">
        <v>42043</v>
      </c>
      <c r="C70" s="28" t="s">
        <v>32</v>
      </c>
      <c r="D70" s="28"/>
      <c r="E70" s="28" t="s">
        <v>3</v>
      </c>
      <c r="F70" s="28"/>
      <c r="G70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2021-08-17T15:50:43Z</dcterms:modified>
</cp:coreProperties>
</file>