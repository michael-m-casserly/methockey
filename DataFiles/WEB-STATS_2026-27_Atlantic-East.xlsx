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99f8723705ec823/Webmaster/methockey/DataFiles/"/>
    </mc:Choice>
  </mc:AlternateContent>
  <xr:revisionPtr revIDLastSave="5" documentId="13_ncr:1_{61BDD661-42F9-4D8A-AA5B-B4316C07B834}" xr6:coauthVersionLast="47" xr6:coauthVersionMax="47" xr10:uidLastSave="{144D9442-4991-4A3B-865B-5089E166423A}"/>
  <bookViews>
    <workbookView xWindow="-108" yWindow="-108" windowWidth="23256" windowHeight="13896" activeTab="4" xr2:uid="{00000000-000D-0000-FFFF-FFFF00000000}"/>
  </bookViews>
  <sheets>
    <sheet name="Player Scoring" sheetId="34" r:id="rId1"/>
    <sheet name="Goalie" sheetId="35" r:id="rId2"/>
    <sheet name="Player-PIM-PPG" sheetId="36" r:id="rId3"/>
    <sheet name="Team-PP-PK-PIM" sheetId="37" r:id="rId4"/>
    <sheet name="Team-Scoring" sheetId="38" r:id="rId5"/>
  </sheets>
  <definedNames>
    <definedName name="_xlnm._FilterDatabase" localSheetId="3" hidden="1">'Team-PP-PK-PIM'!$A$11:$E$19</definedName>
    <definedName name="_Key1" hidden="1">#REF!</definedName>
    <definedName name="_Order1" hidden="1">0</definedName>
    <definedName name="_Sort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34" l="1"/>
  <c r="E13" i="37"/>
  <c r="E15" i="37"/>
  <c r="E18" i="37"/>
  <c r="E14" i="37"/>
  <c r="E16" i="37"/>
  <c r="E17" i="37"/>
  <c r="E19" i="37"/>
  <c r="F19" i="34" l="1"/>
  <c r="F18" i="34"/>
  <c r="F17" i="34"/>
  <c r="F16" i="34"/>
  <c r="H18" i="38"/>
  <c r="G34" i="37"/>
  <c r="G23" i="36"/>
  <c r="L17" i="35"/>
  <c r="I23" i="34"/>
  <c r="F15" i="34"/>
  <c r="F12" i="34"/>
  <c r="F10" i="34"/>
  <c r="F14" i="34"/>
  <c r="F8" i="34"/>
  <c r="F6" i="34"/>
  <c r="F13" i="34"/>
  <c r="F9" i="34"/>
  <c r="F20" i="34"/>
  <c r="F11" i="34"/>
  <c r="F7" i="34"/>
  <c r="E9" i="38" l="1"/>
  <c r="E3" i="38"/>
  <c r="E8" i="38"/>
  <c r="E4" i="38"/>
  <c r="E5" i="38"/>
  <c r="E7" i="38"/>
  <c r="E6" i="37"/>
  <c r="E4" i="37"/>
  <c r="E7" i="37"/>
  <c r="E3" i="37"/>
  <c r="E5" i="37"/>
  <c r="E9" i="37"/>
  <c r="E6" i="38" l="1"/>
  <c r="E8" i="37" l="1"/>
</calcChain>
</file>

<file path=xl/sharedStrings.xml><?xml version="1.0" encoding="utf-8"?>
<sst xmlns="http://schemas.openxmlformats.org/spreadsheetml/2006/main" count="175" uniqueCount="88">
  <si>
    <t>G</t>
  </si>
  <si>
    <t>A</t>
  </si>
  <si>
    <t>PTS</t>
  </si>
  <si>
    <t>PIM</t>
  </si>
  <si>
    <t>GP</t>
  </si>
  <si>
    <t>W</t>
  </si>
  <si>
    <t>L</t>
  </si>
  <si>
    <t>MIN</t>
  </si>
  <si>
    <t>GAA</t>
  </si>
  <si>
    <t>#</t>
  </si>
  <si>
    <t>Player</t>
  </si>
  <si>
    <t>Team</t>
  </si>
  <si>
    <t>PPG</t>
  </si>
  <si>
    <t>Team Penalties</t>
  </si>
  <si>
    <t>PPO</t>
  </si>
  <si>
    <t>PPGA</t>
  </si>
  <si>
    <t>OTL</t>
  </si>
  <si>
    <t>PP</t>
  </si>
  <si>
    <t>%</t>
  </si>
  <si>
    <t>Player Penalty Minutes</t>
  </si>
  <si>
    <t>Goaltender Goals-Against-Average Leaders</t>
  </si>
  <si>
    <t>Player Scoring Leaders</t>
  </si>
  <si>
    <t>Team Penalty Kill</t>
  </si>
  <si>
    <t>Stats as of:</t>
  </si>
  <si>
    <t>Team Scoring</t>
  </si>
  <si>
    <t>Sacred Heart</t>
  </si>
  <si>
    <t>SV%</t>
  </si>
  <si>
    <t>Power Play Goals</t>
  </si>
  <si>
    <t>Team Power Play</t>
  </si>
  <si>
    <t>SHU</t>
  </si>
  <si>
    <t>Stony Brook</t>
  </si>
  <si>
    <t>Hofstra</t>
  </si>
  <si>
    <t>Rutgers</t>
  </si>
  <si>
    <t>Stevens</t>
  </si>
  <si>
    <t>St. Johns</t>
  </si>
  <si>
    <t>Fairfield</t>
  </si>
  <si>
    <t>SB</t>
  </si>
  <si>
    <t>Nick Guadagno</t>
  </si>
  <si>
    <t>Angelo Manzello</t>
  </si>
  <si>
    <t>HOF</t>
  </si>
  <si>
    <t>Dean Rosa</t>
  </si>
  <si>
    <t>Nico Buglione</t>
  </si>
  <si>
    <t>Dylan Faulhaber</t>
  </si>
  <si>
    <t>STEV</t>
  </si>
  <si>
    <t>Ben Hepler</t>
  </si>
  <si>
    <t>Zach Donahue</t>
  </si>
  <si>
    <t>Tyler Armagan</t>
  </si>
  <si>
    <t>Tim Ouellette</t>
  </si>
  <si>
    <t>Padraig Kirchner</t>
  </si>
  <si>
    <t>FF</t>
  </si>
  <si>
    <t>Shane Reidy</t>
  </si>
  <si>
    <t>AJ Angress</t>
  </si>
  <si>
    <t>RU</t>
  </si>
  <si>
    <t>Lucas Cohen</t>
  </si>
  <si>
    <t>Ben Bajzath</t>
  </si>
  <si>
    <t>James Van Eron</t>
  </si>
  <si>
    <t>Jamie Zimmerman</t>
  </si>
  <si>
    <t>Mateo Nunag</t>
  </si>
  <si>
    <t>Dan Sorkin</t>
  </si>
  <si>
    <t>Matt Materazo</t>
  </si>
  <si>
    <t>David Wetzel</t>
  </si>
  <si>
    <t>Colby Arel</t>
  </si>
  <si>
    <t>Brendan Breschard</t>
  </si>
  <si>
    <t>Nick Aloisio</t>
  </si>
  <si>
    <t>Jacob Campbell</t>
  </si>
  <si>
    <t>Gavin Reiger</t>
  </si>
  <si>
    <t>Dan McArdle</t>
  </si>
  <si>
    <t>px</t>
  </si>
  <si>
    <t>Grace Heiting</t>
  </si>
  <si>
    <t>Tom Vella</t>
  </si>
  <si>
    <t>Jack Cozine</t>
  </si>
  <si>
    <t>Nikita Vorotnikov</t>
  </si>
  <si>
    <t>.851</t>
  </si>
  <si>
    <t>.889</t>
  </si>
  <si>
    <t>Luke Ryan</t>
  </si>
  <si>
    <t>2/17/2026</t>
  </si>
  <si>
    <t>.894</t>
  </si>
  <si>
    <t>.934</t>
  </si>
  <si>
    <t>Joey Letizia</t>
  </si>
  <si>
    <t>.884</t>
  </si>
  <si>
    <t>Alex Goffredo</t>
  </si>
  <si>
    <t>.858</t>
  </si>
  <si>
    <t>.902</t>
  </si>
  <si>
    <t>Ivan Patapovich</t>
  </si>
  <si>
    <t>Pierce Buckner</t>
  </si>
  <si>
    <t>.865</t>
  </si>
  <si>
    <t>(Minimum 220 minutes played)</t>
  </si>
  <si>
    <t>Does not reflect forfeits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</si>
</sst>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_)"/>
    <numFmt numFmtId="165" formatCode="0.0%"/>
    <numFmt numFmtId="166" formatCode="General_)"/>
  </numFmts>
  <fonts count="13" x14ac:knownFonts="1">
    <font>
      <sz val="10"/>
      <name val="Courie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Calibri"/>
      <family val="2"/>
      <scheme val="minor"/>
    </font>
    <font>
      <sz val="6"/>
      <name val="Courier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44F7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theme="3"/>
      </left>
      <right style="thick">
        <color theme="3"/>
      </right>
      <top/>
      <bottom style="medium">
        <color indexed="64"/>
      </bottom>
      <diagonal/>
    </border>
    <border>
      <left style="medium">
        <color indexed="64"/>
      </left>
      <right style="thick">
        <color theme="3"/>
      </right>
      <top/>
      <bottom style="medium">
        <color indexed="64"/>
      </bottom>
      <diagonal/>
    </border>
    <border>
      <left style="thick">
        <color theme="3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166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6">
    <xf numFmtId="166" fontId="0" fillId="0" borderId="0" xfId="0"/>
    <xf numFmtId="166" fontId="3" fillId="0" borderId="0" xfId="0" applyFont="1" applyAlignment="1">
      <alignment horizontal="center" vertical="center"/>
    </xf>
    <xf numFmtId="166" fontId="6" fillId="0" borderId="0" xfId="0" applyFont="1" applyAlignment="1">
      <alignment horizontal="center" vertical="center"/>
    </xf>
    <xf numFmtId="166" fontId="4" fillId="0" borderId="0" xfId="0" applyFont="1" applyAlignment="1">
      <alignment horizontal="center" vertical="center"/>
    </xf>
    <xf numFmtId="166" fontId="7" fillId="0" borderId="0" xfId="0" applyFont="1" applyAlignment="1">
      <alignment horizontal="center" vertical="center"/>
    </xf>
    <xf numFmtId="166" fontId="5" fillId="0" borderId="0" xfId="0" applyFont="1" applyAlignment="1">
      <alignment horizontal="center" vertical="center"/>
    </xf>
    <xf numFmtId="166" fontId="0" fillId="0" borderId="0" xfId="0" applyAlignment="1">
      <alignment vertical="center"/>
    </xf>
    <xf numFmtId="166" fontId="3" fillId="0" borderId="0" xfId="0" applyFont="1" applyAlignment="1">
      <alignment horizontal="left" vertical="center" wrapText="1"/>
    </xf>
    <xf numFmtId="9" fontId="1" fillId="0" borderId="0" xfId="1" applyFont="1" applyFill="1" applyBorder="1" applyAlignment="1">
      <alignment horizontal="center" vertical="center"/>
    </xf>
    <xf numFmtId="166" fontId="2" fillId="0" borderId="8" xfId="0" applyFont="1" applyBorder="1" applyAlignment="1">
      <alignment horizontal="center" vertical="center"/>
    </xf>
    <xf numFmtId="166" fontId="2" fillId="0" borderId="9" xfId="0" applyFont="1" applyBorder="1" applyAlignment="1">
      <alignment horizontal="center" vertical="center"/>
    </xf>
    <xf numFmtId="166" fontId="2" fillId="0" borderId="10" xfId="0" applyFont="1" applyBorder="1" applyAlignment="1">
      <alignment horizontal="center" vertical="center"/>
    </xf>
    <xf numFmtId="166" fontId="0" fillId="0" borderId="0" xfId="0" applyAlignment="1">
      <alignment horizontal="center" vertical="center"/>
    </xf>
    <xf numFmtId="9" fontId="1" fillId="0" borderId="1" xfId="1" applyFont="1" applyFill="1" applyBorder="1" applyAlignment="1">
      <alignment horizontal="center" vertical="center"/>
    </xf>
    <xf numFmtId="166" fontId="2" fillId="0" borderId="1" xfId="0" applyFont="1" applyBorder="1" applyAlignment="1">
      <alignment horizontal="center" vertical="center"/>
    </xf>
    <xf numFmtId="166" fontId="2" fillId="0" borderId="9" xfId="0" applyFont="1" applyBorder="1" applyAlignment="1">
      <alignment horizontal="left" vertical="center" wrapText="1"/>
    </xf>
    <xf numFmtId="166" fontId="6" fillId="0" borderId="8" xfId="0" applyFont="1" applyBorder="1" applyAlignment="1">
      <alignment horizontal="center" vertical="center"/>
    </xf>
    <xf numFmtId="166" fontId="6" fillId="0" borderId="9" xfId="0" applyFont="1" applyBorder="1" applyAlignment="1">
      <alignment horizontal="center" vertical="center"/>
    </xf>
    <xf numFmtId="166" fontId="6" fillId="0" borderId="10" xfId="0" applyFont="1" applyBorder="1" applyAlignment="1">
      <alignment horizontal="center" vertical="center"/>
    </xf>
    <xf numFmtId="166" fontId="1" fillId="0" borderId="0" xfId="0" applyFont="1" applyAlignment="1">
      <alignment horizontal="center" vertical="center"/>
    </xf>
    <xf numFmtId="166" fontId="1" fillId="0" borderId="0" xfId="0" applyFont="1" applyAlignment="1">
      <alignment horizontal="left" vertical="center" wrapText="1"/>
    </xf>
    <xf numFmtId="166" fontId="2" fillId="0" borderId="14" xfId="0" applyFont="1" applyBorder="1" applyAlignment="1">
      <alignment horizontal="center" vertical="center"/>
    </xf>
    <xf numFmtId="166" fontId="2" fillId="0" borderId="14" xfId="0" applyFont="1" applyBorder="1" applyAlignment="1">
      <alignment horizontal="left" vertical="center" wrapText="1"/>
    </xf>
    <xf numFmtId="166" fontId="8" fillId="0" borderId="0" xfId="0" applyFont="1" applyAlignment="1">
      <alignment horizontal="center" vertical="center"/>
    </xf>
    <xf numFmtId="166" fontId="0" fillId="0" borderId="0" xfId="0" applyAlignment="1">
      <alignment horizontal="left" vertical="center" wrapText="1"/>
    </xf>
    <xf numFmtId="166" fontId="6" fillId="0" borderId="9" xfId="0" applyFont="1" applyBorder="1" applyAlignment="1">
      <alignment horizontal="left" vertical="center" wrapText="1"/>
    </xf>
    <xf numFmtId="166" fontId="2" fillId="0" borderId="1" xfId="0" applyFont="1" applyBorder="1" applyAlignment="1">
      <alignment horizontal="left" vertical="center" wrapText="1"/>
    </xf>
    <xf numFmtId="166" fontId="0" fillId="0" borderId="0" xfId="0" applyAlignment="1">
      <alignment horizontal="left" vertical="center"/>
    </xf>
    <xf numFmtId="166" fontId="1" fillId="0" borderId="1" xfId="0" applyFont="1" applyBorder="1" applyAlignment="1">
      <alignment horizontal="center" vertical="center"/>
    </xf>
    <xf numFmtId="166" fontId="1" fillId="0" borderId="1" xfId="0" applyFont="1" applyBorder="1" applyAlignment="1">
      <alignment horizontal="left" vertical="center"/>
    </xf>
    <xf numFmtId="166" fontId="1" fillId="0" borderId="1" xfId="0" quotePrefix="1" applyFont="1" applyBorder="1" applyAlignment="1">
      <alignment horizontal="center" vertical="center"/>
    </xf>
    <xf numFmtId="166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quotePrefix="1" applyNumberFormat="1" applyFont="1" applyBorder="1" applyAlignment="1">
      <alignment horizontal="center" vertical="center"/>
    </xf>
    <xf numFmtId="166" fontId="11" fillId="0" borderId="0" xfId="0" applyFont="1" applyAlignment="1">
      <alignment horizontal="center" vertical="center"/>
    </xf>
    <xf numFmtId="166" fontId="11" fillId="0" borderId="0" xfId="0" applyFont="1" applyAlignment="1">
      <alignment horizontal="left" vertical="center" wrapText="1"/>
    </xf>
    <xf numFmtId="166" fontId="12" fillId="0" borderId="0" xfId="0" applyFont="1" applyAlignment="1">
      <alignment horizontal="center" vertical="center"/>
    </xf>
    <xf numFmtId="166" fontId="11" fillId="0" borderId="0" xfId="0" applyFont="1" applyAlignment="1">
      <alignment horizontal="left" vertical="center"/>
    </xf>
    <xf numFmtId="166" fontId="11" fillId="0" borderId="0" xfId="0" applyFont="1" applyAlignment="1">
      <alignment vertical="center"/>
    </xf>
    <xf numFmtId="166" fontId="0" fillId="0" borderId="0" xfId="0" quotePrefix="1" applyAlignment="1">
      <alignment horizontal="center" vertical="center"/>
    </xf>
    <xf numFmtId="166" fontId="9" fillId="2" borderId="5" xfId="0" applyFont="1" applyFill="1" applyBorder="1" applyAlignment="1">
      <alignment horizontal="center" vertical="center"/>
    </xf>
    <xf numFmtId="166" fontId="9" fillId="2" borderId="6" xfId="0" applyFont="1" applyFill="1" applyBorder="1" applyAlignment="1">
      <alignment horizontal="center" vertical="center"/>
    </xf>
    <xf numFmtId="166" fontId="9" fillId="2" borderId="7" xfId="0" applyFont="1" applyFill="1" applyBorder="1" applyAlignment="1">
      <alignment horizontal="center" vertical="center"/>
    </xf>
    <xf numFmtId="166" fontId="0" fillId="0" borderId="1" xfId="0" applyBorder="1" applyAlignment="1">
      <alignment horizontal="center" vertical="center"/>
    </xf>
    <xf numFmtId="166" fontId="10" fillId="0" borderId="0" xfId="0" applyFont="1" applyAlignment="1">
      <alignment horizontal="center" vertical="center"/>
    </xf>
    <xf numFmtId="14" fontId="10" fillId="0" borderId="0" xfId="0" quotePrefix="1" applyNumberFormat="1" applyFont="1" applyAlignment="1">
      <alignment horizontal="center" vertical="center"/>
    </xf>
    <xf numFmtId="166" fontId="0" fillId="0" borderId="0" xfId="0" applyAlignment="1">
      <alignment horizontal="center" vertical="center"/>
    </xf>
    <xf numFmtId="166" fontId="1" fillId="0" borderId="12" xfId="0" applyFont="1" applyBorder="1" applyAlignment="1">
      <alignment horizontal="center" vertical="center"/>
    </xf>
    <xf numFmtId="166" fontId="1" fillId="0" borderId="11" xfId="0" applyFont="1" applyBorder="1" applyAlignment="1">
      <alignment horizontal="center" vertical="center"/>
    </xf>
    <xf numFmtId="166" fontId="1" fillId="0" borderId="13" xfId="0" applyFont="1" applyBorder="1" applyAlignment="1">
      <alignment horizontal="center" vertical="center"/>
    </xf>
    <xf numFmtId="166" fontId="1" fillId="0" borderId="1" xfId="0" applyFont="1" applyBorder="1" applyAlignment="1">
      <alignment horizontal="center" vertical="center"/>
    </xf>
    <xf numFmtId="166" fontId="2" fillId="0" borderId="1" xfId="0" applyFont="1" applyBorder="1" applyAlignment="1">
      <alignment horizontal="center" vertical="center"/>
    </xf>
    <xf numFmtId="166" fontId="9" fillId="2" borderId="2" xfId="0" applyFont="1" applyFill="1" applyBorder="1" applyAlignment="1">
      <alignment horizontal="center" vertical="center"/>
    </xf>
    <xf numFmtId="166" fontId="9" fillId="2" borderId="3" xfId="0" applyFont="1" applyFill="1" applyBorder="1" applyAlignment="1">
      <alignment horizontal="center" vertical="center"/>
    </xf>
    <xf numFmtId="166" fontId="9" fillId="2" borderId="4" xfId="0" applyFont="1" applyFill="1" applyBorder="1" applyAlignment="1">
      <alignment horizontal="center" vertical="center"/>
    </xf>
  </cellXfs>
  <cellStyles count="4">
    <cellStyle name="Comma 2" xfId="2" xr:uid="{7EE3CE13-D640-4FBF-B9E7-7EC68D08D5C3}"/>
    <cellStyle name="Normal" xfId="0" builtinId="0"/>
    <cellStyle name="Normal 2" xfId="3" xr:uid="{F96EF5A1-2A69-426B-A11E-A5BBFAB40EB3}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344F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606F-128D-4159-8D4D-AB2A80E924DD}">
  <dimension ref="A1:K50"/>
  <sheetViews>
    <sheetView workbookViewId="0">
      <selection sqref="A1:G21"/>
    </sheetView>
  </sheetViews>
  <sheetFormatPr defaultColWidth="8.88671875" defaultRowHeight="12" x14ac:dyDescent="0.2"/>
  <cols>
    <col min="1" max="1" width="3.6640625" style="12" bestFit="1" customWidth="1"/>
    <col min="2" max="2" width="16" style="24" bestFit="1" customWidth="1"/>
    <col min="3" max="3" width="5.6640625" style="12" bestFit="1" customWidth="1"/>
    <col min="4" max="5" width="3.6640625" style="12" bestFit="1" customWidth="1"/>
    <col min="6" max="6" width="4.5546875" style="12" bestFit="1" customWidth="1"/>
    <col min="7" max="7" width="3.6640625" style="12" bestFit="1" customWidth="1"/>
    <col min="8" max="8" width="4.44140625" style="12" bestFit="1" customWidth="1"/>
    <col min="9" max="9" width="3.6640625" style="12" bestFit="1" customWidth="1"/>
    <col min="10" max="10" width="2.33203125" style="12" bestFit="1" customWidth="1"/>
    <col min="11" max="16384" width="8.88671875" style="12"/>
  </cols>
  <sheetData>
    <row r="1" spans="1:11" ht="13.8" x14ac:dyDescent="0.2">
      <c r="A1" s="45" t="s">
        <v>23</v>
      </c>
      <c r="B1" s="45"/>
      <c r="C1" s="45"/>
      <c r="D1" s="45"/>
      <c r="E1" s="45"/>
      <c r="F1" s="45"/>
      <c r="G1" s="45"/>
    </row>
    <row r="2" spans="1:11" ht="13.8" x14ac:dyDescent="0.2">
      <c r="A2" s="46" t="s">
        <v>75</v>
      </c>
      <c r="B2" s="46"/>
      <c r="C2" s="46"/>
      <c r="D2" s="46"/>
      <c r="E2" s="46"/>
      <c r="F2" s="46"/>
      <c r="G2" s="46"/>
    </row>
    <row r="3" spans="1:11" ht="12.6" thickBot="1" x14ac:dyDescent="0.25">
      <c r="A3" s="47"/>
      <c r="B3" s="47"/>
      <c r="C3" s="47"/>
      <c r="D3" s="47"/>
      <c r="E3" s="47"/>
      <c r="F3" s="47"/>
      <c r="G3" s="47"/>
    </row>
    <row r="4" spans="1:11" ht="13.2" x14ac:dyDescent="0.2">
      <c r="A4" s="41" t="s">
        <v>21</v>
      </c>
      <c r="B4" s="42"/>
      <c r="C4" s="42"/>
      <c r="D4" s="42"/>
      <c r="E4" s="42"/>
      <c r="F4" s="42"/>
      <c r="G4" s="43"/>
      <c r="K4" s="4"/>
    </row>
    <row r="5" spans="1:11" ht="13.2" x14ac:dyDescent="0.2">
      <c r="A5" s="21" t="s">
        <v>9</v>
      </c>
      <c r="B5" s="22" t="s">
        <v>10</v>
      </c>
      <c r="C5" s="21" t="s">
        <v>11</v>
      </c>
      <c r="D5" s="21" t="s">
        <v>0</v>
      </c>
      <c r="E5" s="21" t="s">
        <v>1</v>
      </c>
      <c r="F5" s="21" t="s">
        <v>2</v>
      </c>
      <c r="G5" s="21" t="s">
        <v>4</v>
      </c>
      <c r="K5" s="3"/>
    </row>
    <row r="6" spans="1:11" ht="13.2" x14ac:dyDescent="0.2">
      <c r="A6" s="28">
        <v>16</v>
      </c>
      <c r="B6" s="29" t="s">
        <v>55</v>
      </c>
      <c r="C6" s="28" t="s">
        <v>39</v>
      </c>
      <c r="D6" s="28">
        <v>12</v>
      </c>
      <c r="E6" s="28">
        <v>15</v>
      </c>
      <c r="F6" s="28">
        <f t="shared" ref="F6:F21" si="0">+D6+E6</f>
        <v>27</v>
      </c>
      <c r="G6" s="28">
        <v>12</v>
      </c>
      <c r="H6" s="1"/>
      <c r="I6" s="1"/>
      <c r="J6" s="1"/>
      <c r="K6" s="1"/>
    </row>
    <row r="7" spans="1:11" ht="13.2" x14ac:dyDescent="0.2">
      <c r="A7" s="28">
        <v>7</v>
      </c>
      <c r="B7" s="29" t="s">
        <v>57</v>
      </c>
      <c r="C7" s="28" t="s">
        <v>52</v>
      </c>
      <c r="D7" s="28">
        <v>16</v>
      </c>
      <c r="E7" s="28">
        <v>10</v>
      </c>
      <c r="F7" s="28">
        <f t="shared" si="0"/>
        <v>26</v>
      </c>
      <c r="G7" s="28">
        <v>10</v>
      </c>
      <c r="H7" s="1"/>
      <c r="I7" s="1"/>
      <c r="J7" s="1"/>
      <c r="K7" s="1"/>
    </row>
    <row r="8" spans="1:11" ht="13.2" x14ac:dyDescent="0.2">
      <c r="A8" s="28">
        <v>11</v>
      </c>
      <c r="B8" s="29" t="s">
        <v>59</v>
      </c>
      <c r="C8" s="28" t="s">
        <v>39</v>
      </c>
      <c r="D8" s="28">
        <v>6</v>
      </c>
      <c r="E8" s="28">
        <v>18</v>
      </c>
      <c r="F8" s="28">
        <f t="shared" si="0"/>
        <v>24</v>
      </c>
      <c r="G8" s="28">
        <v>12</v>
      </c>
      <c r="H8" s="1"/>
      <c r="I8" s="1"/>
      <c r="J8" s="1"/>
      <c r="K8" s="1"/>
    </row>
    <row r="9" spans="1:11" ht="13.2" x14ac:dyDescent="0.2">
      <c r="A9" s="28">
        <v>11</v>
      </c>
      <c r="B9" s="29" t="s">
        <v>50</v>
      </c>
      <c r="C9" s="28" t="s">
        <v>49</v>
      </c>
      <c r="D9" s="28">
        <v>12</v>
      </c>
      <c r="E9" s="28">
        <v>9</v>
      </c>
      <c r="F9" s="28">
        <f t="shared" si="0"/>
        <v>21</v>
      </c>
      <c r="G9" s="28">
        <v>10</v>
      </c>
      <c r="H9" s="1"/>
      <c r="I9" s="1"/>
      <c r="J9" s="1"/>
      <c r="K9" s="1"/>
    </row>
    <row r="10" spans="1:11" ht="13.2" x14ac:dyDescent="0.2">
      <c r="A10" s="28">
        <v>9</v>
      </c>
      <c r="B10" s="29" t="s">
        <v>64</v>
      </c>
      <c r="C10" s="28" t="s">
        <v>52</v>
      </c>
      <c r="D10" s="28">
        <v>8</v>
      </c>
      <c r="E10" s="28">
        <v>12</v>
      </c>
      <c r="F10" s="28">
        <f t="shared" si="0"/>
        <v>20</v>
      </c>
      <c r="G10" s="28">
        <v>10</v>
      </c>
      <c r="H10" s="1"/>
      <c r="I10" s="1"/>
      <c r="J10" s="1"/>
      <c r="K10" s="1"/>
    </row>
    <row r="11" spans="1:11" ht="13.2" x14ac:dyDescent="0.2">
      <c r="A11" s="28">
        <v>34</v>
      </c>
      <c r="B11" s="29" t="s">
        <v>58</v>
      </c>
      <c r="C11" s="28" t="s">
        <v>36</v>
      </c>
      <c r="D11" s="28">
        <v>15</v>
      </c>
      <c r="E11" s="28">
        <v>5</v>
      </c>
      <c r="F11" s="28">
        <f t="shared" si="0"/>
        <v>20</v>
      </c>
      <c r="G11" s="28">
        <v>9</v>
      </c>
      <c r="H11" s="1"/>
      <c r="I11" s="1"/>
      <c r="J11" s="1"/>
      <c r="K11" s="1"/>
    </row>
    <row r="12" spans="1:11" ht="13.2" x14ac:dyDescent="0.2">
      <c r="A12" s="28">
        <v>14</v>
      </c>
      <c r="B12" s="29" t="s">
        <v>65</v>
      </c>
      <c r="C12" s="28" t="s">
        <v>52</v>
      </c>
      <c r="D12" s="28">
        <v>8</v>
      </c>
      <c r="E12" s="28">
        <v>10</v>
      </c>
      <c r="F12" s="28">
        <f t="shared" si="0"/>
        <v>18</v>
      </c>
      <c r="G12" s="28">
        <v>10</v>
      </c>
      <c r="H12" s="1"/>
      <c r="I12" s="1"/>
      <c r="J12" s="1"/>
      <c r="K12" s="1"/>
    </row>
    <row r="13" spans="1:11" ht="13.2" x14ac:dyDescent="0.2">
      <c r="A13" s="28">
        <v>20</v>
      </c>
      <c r="B13" s="29" t="s">
        <v>54</v>
      </c>
      <c r="C13" s="28" t="s">
        <v>29</v>
      </c>
      <c r="D13" s="28">
        <v>6</v>
      </c>
      <c r="E13" s="28">
        <v>11</v>
      </c>
      <c r="F13" s="28">
        <f t="shared" si="0"/>
        <v>17</v>
      </c>
      <c r="G13" s="28">
        <v>9</v>
      </c>
      <c r="H13" s="1"/>
      <c r="I13" s="1"/>
      <c r="J13" s="1"/>
      <c r="K13" s="1"/>
    </row>
    <row r="14" spans="1:11" ht="13.2" x14ac:dyDescent="0.2">
      <c r="A14" s="30">
        <v>2</v>
      </c>
      <c r="B14" s="29" t="s">
        <v>42</v>
      </c>
      <c r="C14" s="28" t="s">
        <v>43</v>
      </c>
      <c r="D14" s="28">
        <v>7</v>
      </c>
      <c r="E14" s="28">
        <v>9</v>
      </c>
      <c r="F14" s="28">
        <f t="shared" si="0"/>
        <v>16</v>
      </c>
      <c r="G14" s="28">
        <v>9</v>
      </c>
      <c r="H14" s="1"/>
      <c r="I14" s="1"/>
      <c r="J14" s="1"/>
      <c r="K14" s="1"/>
    </row>
    <row r="15" spans="1:11" ht="13.2" x14ac:dyDescent="0.2">
      <c r="A15" s="28">
        <v>91</v>
      </c>
      <c r="B15" s="29" t="s">
        <v>56</v>
      </c>
      <c r="C15" s="28" t="s">
        <v>52</v>
      </c>
      <c r="D15" s="28">
        <v>9</v>
      </c>
      <c r="E15" s="28">
        <v>7</v>
      </c>
      <c r="F15" s="28">
        <f t="shared" si="0"/>
        <v>16</v>
      </c>
      <c r="G15" s="28">
        <v>10</v>
      </c>
      <c r="H15" s="1"/>
      <c r="I15" s="1"/>
      <c r="J15" s="1"/>
      <c r="K15" s="1"/>
    </row>
    <row r="16" spans="1:11" ht="13.2" x14ac:dyDescent="0.2">
      <c r="A16" s="28">
        <v>2</v>
      </c>
      <c r="B16" s="29" t="s">
        <v>68</v>
      </c>
      <c r="C16" s="28" t="s">
        <v>39</v>
      </c>
      <c r="D16" s="28">
        <v>6</v>
      </c>
      <c r="E16" s="28">
        <v>9</v>
      </c>
      <c r="F16" s="28">
        <f t="shared" si="0"/>
        <v>15</v>
      </c>
      <c r="G16" s="28">
        <v>13</v>
      </c>
      <c r="H16" s="1"/>
      <c r="I16" s="1"/>
      <c r="J16" s="1"/>
      <c r="K16" s="1"/>
    </row>
    <row r="17" spans="1:11" ht="13.2" x14ac:dyDescent="0.2">
      <c r="A17" s="28">
        <v>93</v>
      </c>
      <c r="B17" s="29" t="s">
        <v>41</v>
      </c>
      <c r="C17" s="28" t="s">
        <v>39</v>
      </c>
      <c r="D17" s="28">
        <v>13</v>
      </c>
      <c r="E17" s="28">
        <v>2</v>
      </c>
      <c r="F17" s="28">
        <f t="shared" si="0"/>
        <v>15</v>
      </c>
      <c r="G17" s="28">
        <v>13</v>
      </c>
      <c r="H17" s="1"/>
      <c r="I17" s="1"/>
      <c r="J17" s="1"/>
      <c r="K17" s="5"/>
    </row>
    <row r="18" spans="1:11" ht="13.2" x14ac:dyDescent="0.2">
      <c r="A18" s="28">
        <v>19</v>
      </c>
      <c r="B18" s="29" t="s">
        <v>74</v>
      </c>
      <c r="C18" s="28" t="s">
        <v>49</v>
      </c>
      <c r="D18" s="28">
        <v>10</v>
      </c>
      <c r="E18" s="28">
        <v>4</v>
      </c>
      <c r="F18" s="28">
        <f t="shared" si="0"/>
        <v>14</v>
      </c>
      <c r="G18" s="28">
        <v>6</v>
      </c>
      <c r="H18" s="1"/>
      <c r="I18" s="1"/>
      <c r="J18" s="1"/>
      <c r="K18" s="1"/>
    </row>
    <row r="19" spans="1:11" ht="13.2" x14ac:dyDescent="0.2">
      <c r="A19" s="28">
        <v>16</v>
      </c>
      <c r="B19" s="29" t="s">
        <v>61</v>
      </c>
      <c r="C19" s="28" t="s">
        <v>49</v>
      </c>
      <c r="D19" s="28">
        <v>7</v>
      </c>
      <c r="E19" s="28">
        <v>7</v>
      </c>
      <c r="F19" s="28">
        <f t="shared" si="0"/>
        <v>14</v>
      </c>
      <c r="G19" s="28">
        <v>10</v>
      </c>
      <c r="H19" s="1"/>
      <c r="I19" s="1"/>
      <c r="J19" s="1"/>
      <c r="K19" s="1"/>
    </row>
    <row r="20" spans="1:11" ht="13.2" x14ac:dyDescent="0.2">
      <c r="A20" s="30">
        <v>7</v>
      </c>
      <c r="B20" s="29" t="s">
        <v>47</v>
      </c>
      <c r="C20" s="28" t="s">
        <v>29</v>
      </c>
      <c r="D20" s="28">
        <v>9</v>
      </c>
      <c r="E20" s="28">
        <v>4</v>
      </c>
      <c r="F20" s="28">
        <f t="shared" si="0"/>
        <v>13</v>
      </c>
      <c r="G20" s="28">
        <v>9</v>
      </c>
      <c r="H20" s="1"/>
      <c r="I20" s="1"/>
      <c r="J20" s="1"/>
      <c r="K20" s="1"/>
    </row>
    <row r="21" spans="1:11" ht="13.2" x14ac:dyDescent="0.2">
      <c r="A21" s="28">
        <v>21</v>
      </c>
      <c r="B21" s="29" t="s">
        <v>78</v>
      </c>
      <c r="C21" s="28" t="s">
        <v>29</v>
      </c>
      <c r="D21" s="28">
        <v>6</v>
      </c>
      <c r="E21" s="28">
        <v>7</v>
      </c>
      <c r="F21" s="28">
        <f t="shared" si="0"/>
        <v>13</v>
      </c>
      <c r="G21" s="28">
        <v>9</v>
      </c>
      <c r="H21" s="1"/>
      <c r="I21" s="1"/>
      <c r="J21" s="1"/>
      <c r="K21" s="1"/>
    </row>
    <row r="22" spans="1:11" x14ac:dyDescent="0.2">
      <c r="F22" s="1"/>
      <c r="G22" s="1"/>
      <c r="H22" s="1"/>
      <c r="I22" s="1"/>
      <c r="J22" s="1"/>
      <c r="K22" s="1"/>
    </row>
    <row r="23" spans="1:11" s="35" customFormat="1" ht="7.8" x14ac:dyDescent="0.2">
      <c r="A23" s="35">
        <v>31</v>
      </c>
      <c r="B23" s="36">
        <v>137</v>
      </c>
      <c r="C23" s="35">
        <v>43</v>
      </c>
      <c r="D23" s="35">
        <v>31</v>
      </c>
      <c r="E23" s="35">
        <v>31</v>
      </c>
      <c r="F23" s="37">
        <v>33</v>
      </c>
      <c r="G23" s="37">
        <v>26</v>
      </c>
      <c r="H23" s="37"/>
      <c r="I23" s="37">
        <f>SUM(A23:G23)</f>
        <v>332</v>
      </c>
      <c r="J23" s="37" t="s">
        <v>67</v>
      </c>
      <c r="K23" s="37"/>
    </row>
    <row r="24" spans="1:11" x14ac:dyDescent="0.2">
      <c r="F24" s="1"/>
      <c r="G24" s="1"/>
      <c r="H24" s="1"/>
      <c r="I24" s="1"/>
      <c r="J24" s="1"/>
      <c r="K24" s="1"/>
    </row>
    <row r="25" spans="1:11" x14ac:dyDescent="0.2">
      <c r="F25" s="1"/>
      <c r="G25" s="1"/>
      <c r="H25" s="1"/>
      <c r="I25" s="1"/>
      <c r="J25" s="1"/>
      <c r="K25" s="5"/>
    </row>
    <row r="26" spans="1:11" x14ac:dyDescent="0.2">
      <c r="F26" s="1"/>
      <c r="G26" s="1"/>
      <c r="H26" s="1"/>
      <c r="I26" s="1"/>
      <c r="J26" s="1"/>
      <c r="K26" s="5"/>
    </row>
    <row r="27" spans="1:11" x14ac:dyDescent="0.2">
      <c r="F27" s="1"/>
      <c r="G27" s="1"/>
      <c r="H27" s="1"/>
      <c r="I27" s="1"/>
      <c r="J27" s="1"/>
      <c r="K27" s="5"/>
    </row>
    <row r="28" spans="1:11" x14ac:dyDescent="0.2">
      <c r="A28" s="1"/>
      <c r="B28" s="7"/>
      <c r="C28" s="2"/>
      <c r="D28" s="2"/>
      <c r="E28" s="2"/>
      <c r="F28" s="2"/>
      <c r="G28" s="2"/>
      <c r="H28" s="1"/>
      <c r="I28" s="1"/>
      <c r="J28" s="1"/>
      <c r="K28" s="5"/>
    </row>
    <row r="29" spans="1:11" x14ac:dyDescent="0.2">
      <c r="G29" s="4"/>
      <c r="H29" s="1"/>
      <c r="I29" s="1"/>
      <c r="J29" s="1"/>
      <c r="K29" s="1"/>
    </row>
    <row r="30" spans="1:11" x14ac:dyDescent="0.2">
      <c r="G30" s="3"/>
      <c r="H30" s="3"/>
      <c r="I30" s="3"/>
      <c r="J30" s="3"/>
      <c r="K30" s="2"/>
    </row>
    <row r="31" spans="1:11" x14ac:dyDescent="0.2">
      <c r="G31" s="1"/>
      <c r="H31" s="1"/>
      <c r="I31" s="1"/>
      <c r="J31" s="1"/>
      <c r="K31" s="1"/>
    </row>
    <row r="32" spans="1:11" x14ac:dyDescent="0.2">
      <c r="G32" s="1"/>
      <c r="H32" s="1"/>
      <c r="I32" s="1"/>
      <c r="J32" s="1"/>
      <c r="K32" s="1"/>
    </row>
    <row r="33" spans="1:11" x14ac:dyDescent="0.2">
      <c r="G33" s="1"/>
      <c r="H33" s="1"/>
      <c r="I33" s="1"/>
      <c r="J33" s="1"/>
      <c r="K33" s="1"/>
    </row>
    <row r="34" spans="1:11" x14ac:dyDescent="0.2">
      <c r="G34" s="1"/>
      <c r="H34" s="1"/>
      <c r="I34" s="1"/>
      <c r="J34" s="1"/>
      <c r="K34" s="1"/>
    </row>
    <row r="35" spans="1:11" x14ac:dyDescent="0.2">
      <c r="G35" s="1"/>
      <c r="H35" s="1"/>
      <c r="I35" s="1"/>
      <c r="J35" s="1"/>
      <c r="K35" s="1"/>
    </row>
    <row r="36" spans="1:11" x14ac:dyDescent="0.2">
      <c r="G36" s="1"/>
      <c r="H36" s="1"/>
      <c r="I36" s="1"/>
      <c r="J36" s="1"/>
      <c r="K36" s="5"/>
    </row>
    <row r="37" spans="1:11" x14ac:dyDescent="0.2">
      <c r="A37" s="1"/>
      <c r="B37" s="7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E38" s="4"/>
      <c r="F38" s="4"/>
      <c r="G38" s="1"/>
      <c r="H38" s="1"/>
      <c r="I38" s="1"/>
      <c r="J38" s="1"/>
      <c r="K38" s="1"/>
    </row>
    <row r="39" spans="1:11" x14ac:dyDescent="0.2">
      <c r="E39" s="3"/>
      <c r="F39" s="23"/>
      <c r="G39" s="3"/>
      <c r="H39" s="3"/>
      <c r="I39" s="3"/>
      <c r="J39" s="3"/>
      <c r="K39" s="2"/>
    </row>
    <row r="40" spans="1:11" x14ac:dyDescent="0.2">
      <c r="E40" s="3"/>
      <c r="F40" s="4"/>
      <c r="G40" s="1"/>
      <c r="H40" s="1"/>
      <c r="I40" s="1"/>
      <c r="J40" s="1"/>
      <c r="K40" s="1"/>
    </row>
    <row r="41" spans="1:11" x14ac:dyDescent="0.2">
      <c r="E41" s="3"/>
      <c r="F41" s="4"/>
      <c r="G41" s="1"/>
      <c r="H41" s="1"/>
      <c r="I41" s="1"/>
      <c r="J41" s="1"/>
      <c r="K41" s="1"/>
    </row>
    <row r="42" spans="1:11" x14ac:dyDescent="0.2">
      <c r="E42" s="3"/>
      <c r="F42" s="4"/>
      <c r="G42" s="1"/>
      <c r="H42" s="1"/>
      <c r="I42" s="1"/>
      <c r="J42" s="1"/>
      <c r="K42" s="1"/>
    </row>
    <row r="43" spans="1:11" x14ac:dyDescent="0.2">
      <c r="E43" s="3"/>
      <c r="F43" s="4"/>
      <c r="G43" s="1"/>
      <c r="H43" s="1"/>
      <c r="I43" s="1"/>
      <c r="J43" s="1"/>
      <c r="K43" s="1"/>
    </row>
    <row r="44" spans="1:11" x14ac:dyDescent="0.2">
      <c r="E44" s="3"/>
      <c r="F44" s="4"/>
      <c r="G44" s="1"/>
      <c r="H44" s="1"/>
      <c r="I44" s="1"/>
      <c r="J44" s="1"/>
      <c r="K44" s="1"/>
    </row>
    <row r="45" spans="1:11" x14ac:dyDescent="0.2">
      <c r="E45" s="3"/>
      <c r="F45" s="4"/>
      <c r="G45" s="1"/>
      <c r="H45" s="1"/>
      <c r="I45" s="1"/>
      <c r="J45" s="1"/>
      <c r="K45" s="1"/>
    </row>
    <row r="46" spans="1:11" x14ac:dyDescent="0.2">
      <c r="A46" s="1"/>
      <c r="B46" s="7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">
      <c r="A47" s="1"/>
      <c r="B47" s="7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">
      <c r="A48" s="1"/>
      <c r="B48" s="7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">
      <c r="A49" s="1"/>
      <c r="B49" s="7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">
      <c r="A50" s="1"/>
      <c r="B50" s="7"/>
      <c r="C50" s="1"/>
      <c r="D50" s="1"/>
      <c r="E50" s="1"/>
      <c r="F50" s="1"/>
      <c r="G50" s="1"/>
      <c r="H50" s="1"/>
      <c r="I50" s="1"/>
      <c r="J50" s="1"/>
      <c r="K50" s="1"/>
    </row>
  </sheetData>
  <sortState xmlns:xlrd2="http://schemas.microsoft.com/office/spreadsheetml/2017/richdata2" ref="A6:G21">
    <sortCondition descending="1" ref="F6:F21"/>
  </sortState>
  <mergeCells count="4">
    <mergeCell ref="A4:G4"/>
    <mergeCell ref="A1:G1"/>
    <mergeCell ref="A2:G2"/>
    <mergeCell ref="A3:G3"/>
  </mergeCells>
  <pageMargins left="0.7" right="0.7" top="0.75" bottom="0.75" header="0.3" footer="0.3"/>
  <pageSetup orientation="portrait" horizontalDpi="4294967293" verticalDpi="0" r:id="rId1"/>
  <webPublishItems count="1">
    <webPublishItem id="28367" divId="WEB STATS 2025-26  A_28367" sourceType="range" sourceRef="A1:G21" destinationFile="C:\Users\casse\OneDrive\Webmaster\methockey\stats\statistics-current-include-player-scoring-atlantic-east.html" autoRepublish="1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1F9E-99AD-4F9D-9BF3-FA3DB99197AF}">
  <dimension ref="A1:M17"/>
  <sheetViews>
    <sheetView workbookViewId="0">
      <selection sqref="A1:J11"/>
    </sheetView>
  </sheetViews>
  <sheetFormatPr defaultColWidth="9" defaultRowHeight="12" x14ac:dyDescent="0.2"/>
  <cols>
    <col min="1" max="1" width="3.6640625" style="12" bestFit="1" customWidth="1"/>
    <col min="2" max="2" width="9.44140625" style="24" bestFit="1" customWidth="1"/>
    <col min="3" max="3" width="5.6640625" style="12" bestFit="1" customWidth="1"/>
    <col min="4" max="5" width="2.6640625" style="12" bestFit="1" customWidth="1"/>
    <col min="6" max="6" width="3.6640625" style="12" bestFit="1" customWidth="1"/>
    <col min="7" max="7" width="4" style="12" bestFit="1" customWidth="1"/>
    <col min="8" max="8" width="5.21875" style="12" bestFit="1" customWidth="1"/>
    <col min="9" max="9" width="4.5546875" style="12" bestFit="1" customWidth="1"/>
    <col min="10" max="10" width="3.6640625" style="12" bestFit="1" customWidth="1"/>
    <col min="11" max="11" width="9" style="12"/>
    <col min="12" max="12" width="3.109375" style="12" bestFit="1" customWidth="1"/>
    <col min="13" max="13" width="2" style="12" bestFit="1" customWidth="1"/>
    <col min="14" max="16384" width="9" style="12"/>
  </cols>
  <sheetData>
    <row r="1" spans="1:10" ht="13.8" thickBot="1" x14ac:dyDescent="0.25">
      <c r="A1" s="41" t="s">
        <v>20</v>
      </c>
      <c r="B1" s="42"/>
      <c r="C1" s="42"/>
      <c r="D1" s="42"/>
      <c r="E1" s="42"/>
      <c r="F1" s="42"/>
      <c r="G1" s="42"/>
      <c r="H1" s="42"/>
      <c r="I1" s="42"/>
      <c r="J1" s="43"/>
    </row>
    <row r="2" spans="1:10" x14ac:dyDescent="0.2">
      <c r="A2" s="16" t="s">
        <v>9</v>
      </c>
      <c r="B2" s="25" t="s">
        <v>10</v>
      </c>
      <c r="C2" s="17" t="s">
        <v>11</v>
      </c>
      <c r="D2" s="17" t="s">
        <v>5</v>
      </c>
      <c r="E2" s="17" t="s">
        <v>6</v>
      </c>
      <c r="F2" s="17" t="s">
        <v>16</v>
      </c>
      <c r="G2" s="17" t="s">
        <v>7</v>
      </c>
      <c r="H2" s="17" t="s">
        <v>8</v>
      </c>
      <c r="I2" s="17" t="s">
        <v>26</v>
      </c>
      <c r="J2" s="18" t="s">
        <v>4</v>
      </c>
    </row>
    <row r="3" spans="1:10" ht="26.4" x14ac:dyDescent="0.2">
      <c r="A3" s="28">
        <v>1</v>
      </c>
      <c r="B3" s="31" t="s">
        <v>53</v>
      </c>
      <c r="C3" s="28" t="s">
        <v>52</v>
      </c>
      <c r="D3" s="28">
        <v>5</v>
      </c>
      <c r="E3" s="28">
        <v>1</v>
      </c>
      <c r="F3" s="28">
        <v>0</v>
      </c>
      <c r="G3" s="32">
        <v>360</v>
      </c>
      <c r="H3" s="33">
        <v>3.17</v>
      </c>
      <c r="I3" s="34" t="s">
        <v>82</v>
      </c>
      <c r="J3" s="28">
        <v>6</v>
      </c>
    </row>
    <row r="4" spans="1:10" ht="26.4" x14ac:dyDescent="0.2">
      <c r="A4" s="28">
        <v>1</v>
      </c>
      <c r="B4" s="31" t="s">
        <v>70</v>
      </c>
      <c r="C4" s="28" t="s">
        <v>43</v>
      </c>
      <c r="D4" s="28">
        <v>2</v>
      </c>
      <c r="E4" s="28">
        <v>2</v>
      </c>
      <c r="F4" s="28">
        <v>0</v>
      </c>
      <c r="G4" s="32">
        <v>245</v>
      </c>
      <c r="H4" s="33">
        <v>3.18</v>
      </c>
      <c r="I4" s="34" t="s">
        <v>77</v>
      </c>
      <c r="J4" s="28">
        <v>4</v>
      </c>
    </row>
    <row r="5" spans="1:10" ht="26.4" x14ac:dyDescent="0.2">
      <c r="A5" s="28">
        <v>31</v>
      </c>
      <c r="B5" s="31" t="s">
        <v>84</v>
      </c>
      <c r="C5" s="28" t="s">
        <v>49</v>
      </c>
      <c r="D5" s="28">
        <v>3</v>
      </c>
      <c r="E5" s="28">
        <v>1</v>
      </c>
      <c r="F5" s="28">
        <v>0</v>
      </c>
      <c r="G5" s="32">
        <v>238</v>
      </c>
      <c r="H5" s="33">
        <v>3.28</v>
      </c>
      <c r="I5" s="34" t="s">
        <v>85</v>
      </c>
      <c r="J5" s="28">
        <v>4</v>
      </c>
    </row>
    <row r="6" spans="1:10" ht="26.4" x14ac:dyDescent="0.2">
      <c r="A6" s="28">
        <v>29</v>
      </c>
      <c r="B6" s="20" t="s">
        <v>48</v>
      </c>
      <c r="C6" s="28" t="s">
        <v>49</v>
      </c>
      <c r="D6" s="28">
        <v>5</v>
      </c>
      <c r="E6" s="28">
        <v>1</v>
      </c>
      <c r="F6" s="28">
        <v>0</v>
      </c>
      <c r="G6" s="32">
        <v>360</v>
      </c>
      <c r="H6" s="33">
        <v>3.86</v>
      </c>
      <c r="I6" s="34" t="s">
        <v>81</v>
      </c>
      <c r="J6" s="28">
        <v>6</v>
      </c>
    </row>
    <row r="7" spans="1:10" ht="26.4" x14ac:dyDescent="0.2">
      <c r="A7" s="28">
        <v>30</v>
      </c>
      <c r="B7" s="31" t="s">
        <v>37</v>
      </c>
      <c r="C7" s="28" t="s">
        <v>36</v>
      </c>
      <c r="D7" s="28">
        <v>2</v>
      </c>
      <c r="E7" s="28">
        <v>3</v>
      </c>
      <c r="F7" s="28">
        <v>1</v>
      </c>
      <c r="G7" s="32">
        <v>365</v>
      </c>
      <c r="H7" s="33">
        <v>4.2699999999999996</v>
      </c>
      <c r="I7" s="34" t="s">
        <v>76</v>
      </c>
      <c r="J7" s="28">
        <v>6</v>
      </c>
    </row>
    <row r="8" spans="1:10" ht="26.4" x14ac:dyDescent="0.2">
      <c r="A8" s="28">
        <v>1</v>
      </c>
      <c r="B8" s="31" t="s">
        <v>38</v>
      </c>
      <c r="C8" s="28" t="s">
        <v>39</v>
      </c>
      <c r="D8" s="28">
        <v>7</v>
      </c>
      <c r="E8" s="28">
        <v>6</v>
      </c>
      <c r="F8" s="28">
        <v>0</v>
      </c>
      <c r="G8" s="32">
        <v>749</v>
      </c>
      <c r="H8" s="33">
        <v>4.8099999999999996</v>
      </c>
      <c r="I8" s="34" t="s">
        <v>73</v>
      </c>
      <c r="J8" s="28">
        <v>13</v>
      </c>
    </row>
    <row r="9" spans="1:10" ht="26.4" x14ac:dyDescent="0.2">
      <c r="A9" s="28">
        <v>31</v>
      </c>
      <c r="B9" s="20" t="s">
        <v>46</v>
      </c>
      <c r="C9" s="28" t="s">
        <v>29</v>
      </c>
      <c r="D9" s="28">
        <v>2</v>
      </c>
      <c r="E9" s="28">
        <v>3</v>
      </c>
      <c r="F9" s="28">
        <v>0</v>
      </c>
      <c r="G9" s="32">
        <v>298</v>
      </c>
      <c r="H9" s="33">
        <v>5.03</v>
      </c>
      <c r="I9" s="34" t="s">
        <v>79</v>
      </c>
      <c r="J9" s="28">
        <v>5</v>
      </c>
    </row>
    <row r="10" spans="1:10" ht="26.4" x14ac:dyDescent="0.2">
      <c r="A10" s="28">
        <v>80</v>
      </c>
      <c r="B10" s="31" t="s">
        <v>62</v>
      </c>
      <c r="C10" s="28" t="s">
        <v>43</v>
      </c>
      <c r="D10" s="28">
        <v>1</v>
      </c>
      <c r="E10" s="28">
        <v>4</v>
      </c>
      <c r="F10" s="28">
        <v>0</v>
      </c>
      <c r="G10" s="32">
        <v>300</v>
      </c>
      <c r="H10" s="33">
        <v>8.6</v>
      </c>
      <c r="I10" s="34" t="s">
        <v>72</v>
      </c>
      <c r="J10" s="28">
        <v>5</v>
      </c>
    </row>
    <row r="11" spans="1:10" ht="13.8" thickBot="1" x14ac:dyDescent="0.25">
      <c r="A11" s="48" t="s">
        <v>86</v>
      </c>
      <c r="B11" s="49"/>
      <c r="C11" s="49"/>
      <c r="D11" s="49"/>
      <c r="E11" s="49"/>
      <c r="F11" s="49"/>
      <c r="G11" s="49"/>
      <c r="H11" s="49"/>
      <c r="I11" s="49"/>
      <c r="J11" s="50"/>
    </row>
    <row r="17" spans="1:13" s="35" customFormat="1" ht="7.8" x14ac:dyDescent="0.2">
      <c r="A17" s="35">
        <v>25</v>
      </c>
      <c r="B17" s="36">
        <v>66</v>
      </c>
      <c r="C17" s="35">
        <v>41</v>
      </c>
      <c r="D17" s="35">
        <v>18</v>
      </c>
      <c r="E17" s="35">
        <v>20</v>
      </c>
      <c r="F17" s="35">
        <v>29</v>
      </c>
      <c r="G17" s="35">
        <v>28</v>
      </c>
      <c r="H17" s="35">
        <v>43</v>
      </c>
      <c r="I17" s="35">
        <v>32</v>
      </c>
      <c r="J17" s="35">
        <v>25</v>
      </c>
      <c r="L17" s="35">
        <f>SUM(A17:J17)</f>
        <v>327</v>
      </c>
      <c r="M17" s="35" t="s">
        <v>67</v>
      </c>
    </row>
  </sheetData>
  <sortState xmlns:xlrd2="http://schemas.microsoft.com/office/spreadsheetml/2017/richdata2" ref="A3:J10">
    <sortCondition ref="H3:H10"/>
  </sortState>
  <mergeCells count="2">
    <mergeCell ref="A1:J1"/>
    <mergeCell ref="A11:J11"/>
  </mergeCells>
  <pageMargins left="0.7" right="0.7" top="0.75" bottom="0.75" header="0.3" footer="0.3"/>
  <pageSetup orientation="portrait" horizontalDpi="4294967293" verticalDpi="300" r:id="rId1"/>
  <webPublishItems count="1">
    <webPublishItem id="3391" divId="CASS MCHC WEB STATS 2022-23_3391" sourceType="range" sourceRef="A1:J11" destinationFile="C:\Users\casse\OneDrive\Webmaster\methockey\stats\statistics-current-include-goalie-atlantic-east.html" autoRepublish="1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FEAF-C20D-4366-8EE5-D6BD64A467A2}">
  <dimension ref="A1:G23"/>
  <sheetViews>
    <sheetView workbookViewId="0">
      <selection sqref="A1:E20"/>
    </sheetView>
  </sheetViews>
  <sheetFormatPr defaultColWidth="9" defaultRowHeight="12" x14ac:dyDescent="0.2"/>
  <cols>
    <col min="1" max="1" width="3.6640625" style="12" bestFit="1" customWidth="1"/>
    <col min="2" max="2" width="16" style="27" bestFit="1" customWidth="1"/>
    <col min="3" max="3" width="5.6640625" style="12" bestFit="1" customWidth="1"/>
    <col min="4" max="4" width="4.109375" style="12" bestFit="1" customWidth="1"/>
    <col min="5" max="5" width="3.6640625" style="12" bestFit="1" customWidth="1"/>
    <col min="6" max="6" width="9" style="12"/>
    <col min="7" max="7" width="3.109375" style="12" bestFit="1" customWidth="1"/>
    <col min="8" max="16384" width="9" style="12"/>
  </cols>
  <sheetData>
    <row r="1" spans="1:5" ht="13.2" x14ac:dyDescent="0.2">
      <c r="A1" s="41" t="s">
        <v>19</v>
      </c>
      <c r="B1" s="42"/>
      <c r="C1" s="42"/>
      <c r="D1" s="42"/>
      <c r="E1" s="43"/>
    </row>
    <row r="2" spans="1:5" ht="13.2" x14ac:dyDescent="0.2">
      <c r="A2" s="14" t="s">
        <v>9</v>
      </c>
      <c r="B2" s="26" t="s">
        <v>10</v>
      </c>
      <c r="C2" s="14" t="s">
        <v>11</v>
      </c>
      <c r="D2" s="14" t="s">
        <v>3</v>
      </c>
      <c r="E2" s="14" t="s">
        <v>4</v>
      </c>
    </row>
    <row r="3" spans="1:5" ht="13.2" x14ac:dyDescent="0.2">
      <c r="A3" s="28">
        <v>3</v>
      </c>
      <c r="B3" s="29" t="s">
        <v>40</v>
      </c>
      <c r="C3" s="28" t="s">
        <v>39</v>
      </c>
      <c r="D3" s="28">
        <v>32</v>
      </c>
      <c r="E3" s="28">
        <v>9</v>
      </c>
    </row>
    <row r="4" spans="1:5" ht="13.2" x14ac:dyDescent="0.2">
      <c r="A4" s="28">
        <v>88</v>
      </c>
      <c r="B4" s="29" t="s">
        <v>51</v>
      </c>
      <c r="C4" s="28" t="s">
        <v>52</v>
      </c>
      <c r="D4" s="28">
        <v>31</v>
      </c>
      <c r="E4" s="28">
        <v>9</v>
      </c>
    </row>
    <row r="5" spans="1:5" ht="13.2" x14ac:dyDescent="0.2">
      <c r="A5" s="28">
        <v>2</v>
      </c>
      <c r="B5" s="29" t="s">
        <v>83</v>
      </c>
      <c r="C5" s="28" t="s">
        <v>52</v>
      </c>
      <c r="D5" s="28">
        <v>25</v>
      </c>
      <c r="E5" s="28">
        <v>10</v>
      </c>
    </row>
    <row r="6" spans="1:5" ht="13.2" x14ac:dyDescent="0.2">
      <c r="A6" s="30">
        <v>24</v>
      </c>
      <c r="B6" s="29" t="s">
        <v>69</v>
      </c>
      <c r="C6" s="28" t="s">
        <v>43</v>
      </c>
      <c r="D6" s="28">
        <v>23</v>
      </c>
      <c r="E6" s="28">
        <v>9</v>
      </c>
    </row>
    <row r="7" spans="1:5" ht="13.2" x14ac:dyDescent="0.2">
      <c r="A7" s="28">
        <v>91</v>
      </c>
      <c r="B7" s="29" t="s">
        <v>56</v>
      </c>
      <c r="C7" s="28" t="s">
        <v>52</v>
      </c>
      <c r="D7" s="28">
        <v>22</v>
      </c>
      <c r="E7" s="28">
        <v>10</v>
      </c>
    </row>
    <row r="8" spans="1:5" ht="13.2" x14ac:dyDescent="0.2">
      <c r="A8" s="30">
        <v>26</v>
      </c>
      <c r="B8" s="29" t="s">
        <v>60</v>
      </c>
      <c r="C8" s="28" t="s">
        <v>49</v>
      </c>
      <c r="D8" s="28">
        <v>19</v>
      </c>
      <c r="E8" s="28">
        <v>8</v>
      </c>
    </row>
    <row r="9" spans="1:5" ht="13.2" x14ac:dyDescent="0.2">
      <c r="A9" s="28">
        <v>28</v>
      </c>
      <c r="B9" s="29" t="s">
        <v>44</v>
      </c>
      <c r="C9" s="28" t="s">
        <v>29</v>
      </c>
      <c r="D9" s="28">
        <v>18</v>
      </c>
      <c r="E9" s="28">
        <v>8</v>
      </c>
    </row>
    <row r="10" spans="1:5" ht="13.2" x14ac:dyDescent="0.2">
      <c r="A10" s="28">
        <v>20</v>
      </c>
      <c r="B10" s="29" t="s">
        <v>80</v>
      </c>
      <c r="C10" s="28" t="s">
        <v>29</v>
      </c>
      <c r="D10" s="28">
        <v>17</v>
      </c>
      <c r="E10" s="28">
        <v>6</v>
      </c>
    </row>
    <row r="11" spans="1:5" ht="13.2" x14ac:dyDescent="0.2">
      <c r="A11" s="28">
        <v>23</v>
      </c>
      <c r="B11" s="29" t="s">
        <v>63</v>
      </c>
      <c r="C11" s="28" t="s">
        <v>39</v>
      </c>
      <c r="D11" s="28">
        <v>16</v>
      </c>
      <c r="E11" s="28">
        <v>13</v>
      </c>
    </row>
    <row r="12" spans="1:5" ht="13.2" x14ac:dyDescent="0.2">
      <c r="A12" s="30">
        <v>36</v>
      </c>
      <c r="B12" s="29" t="s">
        <v>71</v>
      </c>
      <c r="C12" s="28" t="s">
        <v>36</v>
      </c>
      <c r="D12" s="28">
        <v>15</v>
      </c>
      <c r="E12" s="28">
        <v>9</v>
      </c>
    </row>
    <row r="13" spans="1:5" ht="12.6" thickBot="1" x14ac:dyDescent="0.25">
      <c r="A13" s="1"/>
      <c r="B13" s="7"/>
      <c r="C13" s="1"/>
      <c r="D13" s="1"/>
      <c r="E13" s="1"/>
    </row>
    <row r="14" spans="1:5" ht="13.2" x14ac:dyDescent="0.2">
      <c r="A14" s="41" t="s">
        <v>27</v>
      </c>
      <c r="B14" s="42"/>
      <c r="C14" s="42"/>
      <c r="D14" s="42"/>
      <c r="E14" s="43"/>
    </row>
    <row r="15" spans="1:5" ht="13.2" x14ac:dyDescent="0.2">
      <c r="A15" s="14" t="s">
        <v>9</v>
      </c>
      <c r="B15" s="26" t="s">
        <v>10</v>
      </c>
      <c r="C15" s="14" t="s">
        <v>11</v>
      </c>
      <c r="D15" s="14" t="s">
        <v>17</v>
      </c>
      <c r="E15" s="14" t="s">
        <v>4</v>
      </c>
    </row>
    <row r="16" spans="1:5" ht="13.2" x14ac:dyDescent="0.2">
      <c r="A16" s="28">
        <v>93</v>
      </c>
      <c r="B16" s="29" t="s">
        <v>41</v>
      </c>
      <c r="C16" s="28" t="s">
        <v>39</v>
      </c>
      <c r="D16" s="28">
        <v>4</v>
      </c>
      <c r="E16" s="28">
        <v>13</v>
      </c>
    </row>
    <row r="17" spans="1:7" ht="13.2" x14ac:dyDescent="0.2">
      <c r="A17" s="30">
        <v>16</v>
      </c>
      <c r="B17" s="29" t="s">
        <v>45</v>
      </c>
      <c r="C17" s="28" t="s">
        <v>29</v>
      </c>
      <c r="D17" s="28">
        <v>3</v>
      </c>
      <c r="E17" s="28">
        <v>8</v>
      </c>
    </row>
    <row r="18" spans="1:7" ht="13.2" x14ac:dyDescent="0.2">
      <c r="A18" s="30">
        <v>2</v>
      </c>
      <c r="B18" s="29" t="s">
        <v>42</v>
      </c>
      <c r="C18" s="28" t="s">
        <v>43</v>
      </c>
      <c r="D18" s="28">
        <v>3</v>
      </c>
      <c r="E18" s="28">
        <v>9</v>
      </c>
    </row>
    <row r="19" spans="1:7" ht="13.2" x14ac:dyDescent="0.2">
      <c r="A19" s="28">
        <v>12</v>
      </c>
      <c r="B19" s="29" t="s">
        <v>66</v>
      </c>
      <c r="C19" s="28" t="s">
        <v>39</v>
      </c>
      <c r="D19" s="28">
        <v>3</v>
      </c>
      <c r="E19" s="28">
        <v>12</v>
      </c>
      <c r="F19" s="19"/>
      <c r="G19" s="19"/>
    </row>
    <row r="20" spans="1:7" ht="13.2" x14ac:dyDescent="0.2">
      <c r="A20" s="28">
        <v>34</v>
      </c>
      <c r="B20" s="29" t="s">
        <v>58</v>
      </c>
      <c r="C20" s="28" t="s">
        <v>36</v>
      </c>
      <c r="D20" s="28">
        <v>3</v>
      </c>
      <c r="E20" s="28">
        <v>9</v>
      </c>
    </row>
    <row r="23" spans="1:7" s="35" customFormat="1" ht="7.8" x14ac:dyDescent="0.2">
      <c r="A23" s="35">
        <v>25</v>
      </c>
      <c r="B23" s="38">
        <v>137</v>
      </c>
      <c r="C23" s="35">
        <v>43</v>
      </c>
      <c r="D23" s="35">
        <v>31</v>
      </c>
      <c r="E23" s="35">
        <v>26</v>
      </c>
      <c r="G23" s="35">
        <f>SUM(A23:E23)</f>
        <v>262</v>
      </c>
    </row>
  </sheetData>
  <sortState xmlns:xlrd2="http://schemas.microsoft.com/office/spreadsheetml/2017/richdata2" ref="A3:E12">
    <sortCondition descending="1" ref="D3:D12"/>
  </sortState>
  <mergeCells count="2">
    <mergeCell ref="A1:E1"/>
    <mergeCell ref="A14:E14"/>
  </mergeCells>
  <pageMargins left="0.7" right="0.7" top="0.75" bottom="0.75" header="0.3" footer="0.3"/>
  <pageSetup orientation="portrait" horizontalDpi="4294967293" verticalDpi="1200" r:id="rId1"/>
  <webPublishItems count="1">
    <webPublishItem id="1613" divId="WEB STATS 2025-26  A_1613" sourceType="range" sourceRef="A1:E20" destinationFile="C:\Users\casse\OneDrive\Webmaster\methockey\stats\statistics-current-include-player-pim-ppg-atlantic-east.html" autoRepublish="1"/>
  </webPublishItem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1954-C8D1-417A-8BFB-932D5FF8F570}">
  <dimension ref="A1:H34"/>
  <sheetViews>
    <sheetView workbookViewId="0">
      <selection sqref="A1:E30"/>
    </sheetView>
  </sheetViews>
  <sheetFormatPr defaultColWidth="9" defaultRowHeight="12" x14ac:dyDescent="0.2"/>
  <cols>
    <col min="1" max="1" width="3.109375" style="12" customWidth="1"/>
    <col min="2" max="2" width="12.44140625" style="27" customWidth="1"/>
    <col min="3" max="3" width="6.109375" style="12" bestFit="1" customWidth="1"/>
    <col min="4" max="4" width="4.88671875" style="12" bestFit="1" customWidth="1"/>
    <col min="5" max="5" width="5.6640625" style="12" bestFit="1" customWidth="1"/>
    <col min="6" max="16384" width="9" style="12"/>
  </cols>
  <sheetData>
    <row r="1" spans="1:8" ht="13.2" x14ac:dyDescent="0.2">
      <c r="A1" s="41" t="s">
        <v>28</v>
      </c>
      <c r="B1" s="42"/>
      <c r="C1" s="42"/>
      <c r="D1" s="42"/>
      <c r="E1" s="43"/>
    </row>
    <row r="2" spans="1:8" ht="13.2" x14ac:dyDescent="0.2">
      <c r="A2" s="21" t="s">
        <v>9</v>
      </c>
      <c r="B2" s="22" t="s">
        <v>11</v>
      </c>
      <c r="C2" s="21" t="s">
        <v>12</v>
      </c>
      <c r="D2" s="21" t="s">
        <v>14</v>
      </c>
      <c r="E2" s="21" t="s">
        <v>18</v>
      </c>
    </row>
    <row r="3" spans="1:8" ht="13.2" x14ac:dyDescent="0.2">
      <c r="A3" s="28">
        <v>1</v>
      </c>
      <c r="B3" s="31" t="s">
        <v>32</v>
      </c>
      <c r="C3" s="28">
        <v>9</v>
      </c>
      <c r="D3" s="28">
        <v>29</v>
      </c>
      <c r="E3" s="13">
        <f t="shared" ref="E3:E9" si="0">+C3/D3</f>
        <v>0.31034482758620691</v>
      </c>
    </row>
    <row r="4" spans="1:8" ht="13.2" x14ac:dyDescent="0.2">
      <c r="A4" s="28">
        <v>2</v>
      </c>
      <c r="B4" s="31" t="s">
        <v>35</v>
      </c>
      <c r="C4" s="28">
        <v>11</v>
      </c>
      <c r="D4" s="28">
        <v>38</v>
      </c>
      <c r="E4" s="13">
        <f t="shared" si="0"/>
        <v>0.28947368421052633</v>
      </c>
    </row>
    <row r="5" spans="1:8" ht="13.2" x14ac:dyDescent="0.2">
      <c r="A5" s="28">
        <v>3</v>
      </c>
      <c r="B5" s="31" t="s">
        <v>31</v>
      </c>
      <c r="C5" s="28">
        <v>11</v>
      </c>
      <c r="D5" s="28">
        <v>41</v>
      </c>
      <c r="E5" s="13">
        <f t="shared" si="0"/>
        <v>0.26829268292682928</v>
      </c>
    </row>
    <row r="6" spans="1:8" ht="13.2" x14ac:dyDescent="0.2">
      <c r="A6" s="28">
        <v>4</v>
      </c>
      <c r="B6" s="31" t="s">
        <v>34</v>
      </c>
      <c r="C6" s="28">
        <v>4</v>
      </c>
      <c r="D6" s="28">
        <v>15</v>
      </c>
      <c r="E6" s="13">
        <f t="shared" si="0"/>
        <v>0.26666666666666666</v>
      </c>
    </row>
    <row r="7" spans="1:8" ht="13.2" x14ac:dyDescent="0.2">
      <c r="A7" s="28">
        <v>5</v>
      </c>
      <c r="B7" s="31" t="s">
        <v>33</v>
      </c>
      <c r="C7" s="28">
        <v>10</v>
      </c>
      <c r="D7" s="28">
        <v>41</v>
      </c>
      <c r="E7" s="13">
        <f t="shared" si="0"/>
        <v>0.24390243902439024</v>
      </c>
    </row>
    <row r="8" spans="1:8" ht="13.2" x14ac:dyDescent="0.2">
      <c r="A8" s="28">
        <v>6</v>
      </c>
      <c r="B8" s="31" t="s">
        <v>25</v>
      </c>
      <c r="C8" s="28">
        <v>8</v>
      </c>
      <c r="D8" s="28">
        <v>40</v>
      </c>
      <c r="E8" s="13">
        <f t="shared" si="0"/>
        <v>0.2</v>
      </c>
    </row>
    <row r="9" spans="1:8" ht="13.2" x14ac:dyDescent="0.2">
      <c r="A9" s="28">
        <v>7</v>
      </c>
      <c r="B9" s="31" t="s">
        <v>30</v>
      </c>
      <c r="C9" s="28">
        <v>7</v>
      </c>
      <c r="D9" s="28">
        <v>40</v>
      </c>
      <c r="E9" s="13">
        <f t="shared" si="0"/>
        <v>0.17499999999999999</v>
      </c>
    </row>
    <row r="10" spans="1:8" ht="13.8" thickBot="1" x14ac:dyDescent="0.25">
      <c r="A10" s="19"/>
      <c r="B10" s="20"/>
      <c r="C10" s="19"/>
      <c r="D10" s="19"/>
      <c r="E10" s="8"/>
    </row>
    <row r="11" spans="1:8" ht="13.8" thickBot="1" x14ac:dyDescent="0.25">
      <c r="A11" s="53" t="s">
        <v>22</v>
      </c>
      <c r="B11" s="54"/>
      <c r="C11" s="54"/>
      <c r="D11" s="54"/>
      <c r="E11" s="55"/>
    </row>
    <row r="12" spans="1:8" ht="13.2" x14ac:dyDescent="0.2">
      <c r="A12" s="9" t="s">
        <v>9</v>
      </c>
      <c r="B12" s="15" t="s">
        <v>11</v>
      </c>
      <c r="C12" s="10" t="s">
        <v>15</v>
      </c>
      <c r="D12" s="10" t="s">
        <v>14</v>
      </c>
      <c r="E12" s="11" t="s">
        <v>18</v>
      </c>
    </row>
    <row r="13" spans="1:8" ht="13.2" x14ac:dyDescent="0.2">
      <c r="A13" s="28">
        <v>1</v>
      </c>
      <c r="B13" s="31" t="s">
        <v>35</v>
      </c>
      <c r="C13" s="28">
        <v>6</v>
      </c>
      <c r="D13" s="28">
        <v>41</v>
      </c>
      <c r="E13" s="13">
        <f t="shared" ref="E13" si="1">(+D13-C13)/D13</f>
        <v>0.85365853658536583</v>
      </c>
      <c r="H13" s="40"/>
    </row>
    <row r="14" spans="1:8" ht="13.2" x14ac:dyDescent="0.2">
      <c r="A14" s="28">
        <v>2</v>
      </c>
      <c r="B14" s="31" t="s">
        <v>33</v>
      </c>
      <c r="C14" s="28">
        <v>6</v>
      </c>
      <c r="D14" s="28">
        <v>26</v>
      </c>
      <c r="E14" s="13">
        <f t="shared" ref="E14:E19" si="2">(+D14-C14)/D14</f>
        <v>0.76923076923076927</v>
      </c>
    </row>
    <row r="15" spans="1:8" ht="13.2" x14ac:dyDescent="0.2">
      <c r="A15" s="28">
        <v>3</v>
      </c>
      <c r="B15" s="31" t="s">
        <v>34</v>
      </c>
      <c r="C15" s="28">
        <v>4</v>
      </c>
      <c r="D15" s="28">
        <v>17</v>
      </c>
      <c r="E15" s="13">
        <f t="shared" si="2"/>
        <v>0.76470588235294112</v>
      </c>
    </row>
    <row r="16" spans="1:8" ht="13.2" x14ac:dyDescent="0.2">
      <c r="A16" s="28">
        <v>4</v>
      </c>
      <c r="B16" s="31" t="s">
        <v>30</v>
      </c>
      <c r="C16" s="28">
        <v>11</v>
      </c>
      <c r="D16" s="28">
        <v>39</v>
      </c>
      <c r="E16" s="13">
        <f t="shared" si="2"/>
        <v>0.71794871794871795</v>
      </c>
    </row>
    <row r="17" spans="1:5" ht="13.2" x14ac:dyDescent="0.2">
      <c r="A17" s="28">
        <v>5</v>
      </c>
      <c r="B17" s="31" t="s">
        <v>25</v>
      </c>
      <c r="C17" s="28">
        <v>12</v>
      </c>
      <c r="D17" s="28">
        <v>42</v>
      </c>
      <c r="E17" s="13">
        <f t="shared" si="2"/>
        <v>0.7142857142857143</v>
      </c>
    </row>
    <row r="18" spans="1:5" ht="14.4" customHeight="1" x14ac:dyDescent="0.2">
      <c r="A18" s="28">
        <v>6</v>
      </c>
      <c r="B18" s="31" t="s">
        <v>32</v>
      </c>
      <c r="C18" s="28">
        <v>12</v>
      </c>
      <c r="D18" s="28">
        <v>41</v>
      </c>
      <c r="E18" s="13">
        <f t="shared" si="2"/>
        <v>0.70731707317073167</v>
      </c>
    </row>
    <row r="19" spans="1:5" ht="13.2" x14ac:dyDescent="0.2">
      <c r="A19" s="28">
        <v>7</v>
      </c>
      <c r="B19" s="31" t="s">
        <v>31</v>
      </c>
      <c r="C19" s="28">
        <v>11</v>
      </c>
      <c r="D19" s="28">
        <v>34</v>
      </c>
      <c r="E19" s="13">
        <f t="shared" si="2"/>
        <v>0.67647058823529416</v>
      </c>
    </row>
    <row r="20" spans="1:5" ht="12.6" thickBot="1" x14ac:dyDescent="0.25"/>
    <row r="21" spans="1:5" ht="13.2" x14ac:dyDescent="0.2">
      <c r="A21" s="41" t="s">
        <v>13</v>
      </c>
      <c r="B21" s="42"/>
      <c r="C21" s="42"/>
      <c r="D21" s="42"/>
      <c r="E21" s="43"/>
    </row>
    <row r="22" spans="1:5" ht="13.2" x14ac:dyDescent="0.2">
      <c r="A22" s="14" t="s">
        <v>9</v>
      </c>
      <c r="B22" s="26" t="s">
        <v>11</v>
      </c>
      <c r="C22" s="14" t="s">
        <v>3</v>
      </c>
      <c r="D22" s="52" t="s">
        <v>4</v>
      </c>
      <c r="E22" s="52"/>
    </row>
    <row r="23" spans="1:5" ht="13.2" x14ac:dyDescent="0.2">
      <c r="A23" s="28">
        <v>1</v>
      </c>
      <c r="B23" s="31" t="s">
        <v>34</v>
      </c>
      <c r="C23" s="28">
        <v>34</v>
      </c>
      <c r="D23" s="51">
        <v>4</v>
      </c>
      <c r="E23" s="51"/>
    </row>
    <row r="24" spans="1:5" ht="13.2" x14ac:dyDescent="0.2">
      <c r="A24" s="28">
        <v>2</v>
      </c>
      <c r="B24" s="31" t="s">
        <v>33</v>
      </c>
      <c r="C24" s="28">
        <v>77</v>
      </c>
      <c r="D24" s="51">
        <v>9</v>
      </c>
      <c r="E24" s="51"/>
    </row>
    <row r="25" spans="1:5" ht="13.2" x14ac:dyDescent="0.2">
      <c r="A25" s="28">
        <v>3</v>
      </c>
      <c r="B25" s="31" t="s">
        <v>31</v>
      </c>
      <c r="C25" s="28">
        <v>83</v>
      </c>
      <c r="D25" s="51">
        <v>13</v>
      </c>
      <c r="E25" s="51"/>
    </row>
    <row r="26" spans="1:5" ht="13.2" x14ac:dyDescent="0.2">
      <c r="A26" s="28">
        <v>4</v>
      </c>
      <c r="B26" s="31" t="s">
        <v>30</v>
      </c>
      <c r="C26" s="28">
        <v>101</v>
      </c>
      <c r="D26" s="51">
        <v>9</v>
      </c>
      <c r="E26" s="51"/>
    </row>
    <row r="27" spans="1:5" ht="13.2" x14ac:dyDescent="0.2">
      <c r="A27" s="28">
        <v>5</v>
      </c>
      <c r="B27" s="31" t="s">
        <v>35</v>
      </c>
      <c r="C27" s="28">
        <v>114</v>
      </c>
      <c r="D27" s="51">
        <v>10</v>
      </c>
      <c r="E27" s="51"/>
    </row>
    <row r="28" spans="1:5" ht="13.2" x14ac:dyDescent="0.2">
      <c r="A28" s="28">
        <v>6</v>
      </c>
      <c r="B28" s="31" t="s">
        <v>25</v>
      </c>
      <c r="C28" s="28">
        <v>121</v>
      </c>
      <c r="D28" s="51">
        <v>9</v>
      </c>
      <c r="E28" s="51"/>
    </row>
    <row r="29" spans="1:5" ht="13.2" x14ac:dyDescent="0.2">
      <c r="A29" s="28">
        <v>7</v>
      </c>
      <c r="B29" s="31" t="s">
        <v>32</v>
      </c>
      <c r="C29" s="28">
        <v>148</v>
      </c>
      <c r="D29" s="51">
        <v>10</v>
      </c>
      <c r="E29" s="51"/>
    </row>
    <row r="30" spans="1:5" x14ac:dyDescent="0.2">
      <c r="B30" s="12"/>
    </row>
    <row r="31" spans="1:5" x14ac:dyDescent="0.2">
      <c r="B31" s="12"/>
    </row>
    <row r="34" spans="1:7" s="35" customFormat="1" ht="7.8" x14ac:dyDescent="0.2">
      <c r="A34" s="35">
        <v>25</v>
      </c>
      <c r="B34" s="38">
        <v>100</v>
      </c>
      <c r="C34" s="35">
        <v>49</v>
      </c>
      <c r="D34" s="35">
        <v>39</v>
      </c>
      <c r="E34" s="35">
        <v>45</v>
      </c>
      <c r="G34" s="35">
        <f>SUM(A34:E34)</f>
        <v>258</v>
      </c>
    </row>
  </sheetData>
  <sortState xmlns:xlrd2="http://schemas.microsoft.com/office/spreadsheetml/2017/richdata2" ref="B14:E19">
    <sortCondition descending="1" ref="E14:E19"/>
  </sortState>
  <mergeCells count="11">
    <mergeCell ref="D29:E29"/>
    <mergeCell ref="A1:E1"/>
    <mergeCell ref="D22:E22"/>
    <mergeCell ref="A21:E21"/>
    <mergeCell ref="A11:E11"/>
    <mergeCell ref="D28:E28"/>
    <mergeCell ref="D23:E23"/>
    <mergeCell ref="D24:E24"/>
    <mergeCell ref="D27:E27"/>
    <mergeCell ref="D25:E25"/>
    <mergeCell ref="D26:E26"/>
  </mergeCells>
  <pageMargins left="0.7" right="0.7" top="0.75" bottom="0.75" header="0.3" footer="0.3"/>
  <webPublishItems count="1">
    <webPublishItem id="27628" divId="Copy of CASS MCHC WEB STATS 2023-24_27628" sourceType="range" sourceRef="A1:E30" destinationFile="C:\Users\casse\OneDrive\Webmaster\methockey\stats\statistics-current-include-team-pp-pk-pim-atlantic-east.html" autoRepublish="1"/>
  </webPublishItem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9DC1-371A-402E-ACB0-D81CFC398CE8}">
  <dimension ref="A1:H18"/>
  <sheetViews>
    <sheetView tabSelected="1" workbookViewId="0">
      <selection activeCell="Q21" sqref="Q21"/>
    </sheetView>
  </sheetViews>
  <sheetFormatPr defaultColWidth="9" defaultRowHeight="12" x14ac:dyDescent="0.2"/>
  <cols>
    <col min="1" max="1" width="3.6640625" style="6" bestFit="1" customWidth="1"/>
    <col min="2" max="2" width="11.77734375" style="6" bestFit="1" customWidth="1"/>
    <col min="3" max="4" width="4.6640625" style="6" bestFit="1" customWidth="1"/>
    <col min="5" max="5" width="4.44140625" style="6" bestFit="1" customWidth="1"/>
    <col min="6" max="6" width="3.6640625" style="6" bestFit="1" customWidth="1"/>
    <col min="7" max="16384" width="9" style="6"/>
  </cols>
  <sheetData>
    <row r="1" spans="1:8" ht="13.8" thickBot="1" x14ac:dyDescent="0.25">
      <c r="A1" s="41" t="s">
        <v>24</v>
      </c>
      <c r="B1" s="42"/>
      <c r="C1" s="42"/>
      <c r="D1" s="42"/>
      <c r="E1" s="42"/>
      <c r="F1" s="43"/>
    </row>
    <row r="2" spans="1:8" ht="13.2" x14ac:dyDescent="0.2">
      <c r="A2" s="9" t="s">
        <v>9</v>
      </c>
      <c r="B2" s="15" t="s">
        <v>11</v>
      </c>
      <c r="C2" s="10" t="s">
        <v>0</v>
      </c>
      <c r="D2" s="10" t="s">
        <v>1</v>
      </c>
      <c r="E2" s="10" t="s">
        <v>2</v>
      </c>
      <c r="F2" s="11" t="s">
        <v>4</v>
      </c>
    </row>
    <row r="3" spans="1:8" ht="13.95" customHeight="1" x14ac:dyDescent="0.2">
      <c r="A3" s="28">
        <v>1</v>
      </c>
      <c r="B3" s="31" t="s">
        <v>35</v>
      </c>
      <c r="C3" s="28">
        <v>67</v>
      </c>
      <c r="D3" s="28">
        <v>98</v>
      </c>
      <c r="E3" s="28">
        <f t="shared" ref="E3:E9" si="0">+C3+D3</f>
        <v>165</v>
      </c>
      <c r="F3" s="28">
        <v>10</v>
      </c>
    </row>
    <row r="4" spans="1:8" ht="13.95" customHeight="1" x14ac:dyDescent="0.2">
      <c r="A4" s="28">
        <v>2</v>
      </c>
      <c r="B4" s="31" t="s">
        <v>32</v>
      </c>
      <c r="C4" s="28">
        <v>69</v>
      </c>
      <c r="D4" s="28">
        <v>84</v>
      </c>
      <c r="E4" s="28">
        <f t="shared" si="0"/>
        <v>153</v>
      </c>
      <c r="F4" s="28">
        <v>10</v>
      </c>
      <c r="H4" s="19"/>
    </row>
    <row r="5" spans="1:8" ht="13.95" customHeight="1" x14ac:dyDescent="0.2">
      <c r="A5" s="28">
        <v>3</v>
      </c>
      <c r="B5" s="31" t="s">
        <v>31</v>
      </c>
      <c r="C5" s="28">
        <v>57</v>
      </c>
      <c r="D5" s="28">
        <v>74</v>
      </c>
      <c r="E5" s="28">
        <f t="shared" si="0"/>
        <v>131</v>
      </c>
      <c r="F5" s="28">
        <v>13</v>
      </c>
      <c r="H5" s="19"/>
    </row>
    <row r="6" spans="1:8" ht="13.95" customHeight="1" x14ac:dyDescent="0.2">
      <c r="A6" s="28">
        <v>4</v>
      </c>
      <c r="B6" s="31" t="s">
        <v>25</v>
      </c>
      <c r="C6" s="28">
        <v>44</v>
      </c>
      <c r="D6" s="28">
        <v>56</v>
      </c>
      <c r="E6" s="28">
        <f t="shared" si="0"/>
        <v>100</v>
      </c>
      <c r="F6" s="28">
        <v>9</v>
      </c>
    </row>
    <row r="7" spans="1:8" ht="13.95" customHeight="1" x14ac:dyDescent="0.2">
      <c r="A7" s="28">
        <v>5</v>
      </c>
      <c r="B7" s="31" t="s">
        <v>30</v>
      </c>
      <c r="C7" s="28">
        <v>34</v>
      </c>
      <c r="D7" s="28">
        <v>42</v>
      </c>
      <c r="E7" s="28">
        <f t="shared" si="0"/>
        <v>76</v>
      </c>
      <c r="F7" s="28">
        <v>9</v>
      </c>
      <c r="H7" s="19"/>
    </row>
    <row r="8" spans="1:8" ht="13.95" customHeight="1" x14ac:dyDescent="0.2">
      <c r="A8" s="28">
        <v>6</v>
      </c>
      <c r="B8" s="31" t="s">
        <v>33</v>
      </c>
      <c r="C8" s="28">
        <v>27</v>
      </c>
      <c r="D8" s="28">
        <v>35</v>
      </c>
      <c r="E8" s="28">
        <f t="shared" si="0"/>
        <v>62</v>
      </c>
      <c r="F8" s="28">
        <v>9</v>
      </c>
      <c r="H8" s="19"/>
    </row>
    <row r="9" spans="1:8" ht="13.95" customHeight="1" x14ac:dyDescent="0.2">
      <c r="A9" s="28">
        <v>7</v>
      </c>
      <c r="B9" s="31" t="s">
        <v>34</v>
      </c>
      <c r="C9" s="28">
        <v>12</v>
      </c>
      <c r="D9" s="28">
        <v>14</v>
      </c>
      <c r="E9" s="28">
        <f t="shared" si="0"/>
        <v>26</v>
      </c>
      <c r="F9" s="28">
        <v>4</v>
      </c>
    </row>
    <row r="10" spans="1:8" x14ac:dyDescent="0.2">
      <c r="A10" s="44" t="s">
        <v>87</v>
      </c>
      <c r="B10" s="44"/>
      <c r="C10" s="44"/>
      <c r="D10" s="44"/>
      <c r="E10" s="44"/>
      <c r="F10" s="44"/>
    </row>
    <row r="18" spans="1:8" s="39" customFormat="1" ht="7.8" x14ac:dyDescent="0.2">
      <c r="A18" s="39">
        <v>29</v>
      </c>
      <c r="B18" s="39">
        <v>94</v>
      </c>
      <c r="C18" s="39">
        <v>37</v>
      </c>
      <c r="D18" s="39">
        <v>37</v>
      </c>
      <c r="E18" s="39">
        <v>36</v>
      </c>
      <c r="F18" s="39">
        <v>29</v>
      </c>
      <c r="H18" s="39">
        <f>SUM(A18:F18)</f>
        <v>262</v>
      </c>
    </row>
  </sheetData>
  <sortState xmlns:xlrd2="http://schemas.microsoft.com/office/spreadsheetml/2017/richdata2" ref="B3:F9">
    <sortCondition descending="1" ref="E3:E9"/>
  </sortState>
  <mergeCells count="2">
    <mergeCell ref="A1:F1"/>
    <mergeCell ref="A10:F10"/>
  </mergeCells>
  <pageMargins left="0.7" right="0.7" top="0.75" bottom="0.75" header="0.3" footer="0.3"/>
  <pageSetup orientation="portrait" horizontalDpi="4294967293" verticalDpi="0" r:id="rId1"/>
  <webPublishItems count="1">
    <webPublishItem id="16385" divId="WEB STATS 2025-26  A (1)_16385" sourceType="range" sourceRef="A1:F10" destinationFile="C:\Users\casse\OneDrive\Webmaster\methockey\stats\statistics-current-include-team-scoring-atlantic-east.html" autoRepublish="1"/>
  </webPublishItems>
</worksheet>
</file>

<file path=docMetadata/LabelInfo.xml><?xml version="1.0" encoding="utf-8"?>
<clbl:labelList xmlns:clbl="http://schemas.microsoft.com/office/2020/mipLabelMetadata">
  <clbl:label id="{587b6ea1-3db9-4fe1-a9d7-85d4c64ce5cc}" enabled="0" method="" siteId="{587b6ea1-3db9-4fe1-a9d7-85d4c64ce5c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Player Scoring</vt:lpstr>
      <vt:lpstr>Goalie</vt:lpstr>
      <vt:lpstr>Player-PIM-PPG</vt:lpstr>
      <vt:lpstr>Team-PP-PK-PIM</vt:lpstr>
      <vt:lpstr>Team-Scoring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MIMCO</dc:creator>
  <cp:lastModifiedBy>Michael Casserly</cp:lastModifiedBy>
  <cp:lastPrinted>2015-01-20T18:49:10Z</cp:lastPrinted>
  <dcterms:created xsi:type="dcterms:W3CDTF">2000-10-21T22:42:21Z</dcterms:created>
  <dcterms:modified xsi:type="dcterms:W3CDTF">2026-10-13T14:58:51Z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